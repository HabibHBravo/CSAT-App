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2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bib\OneDrive\Documents\LocalPythonProjects\Misc\CSAT Calc\"/>
    </mc:Choice>
  </mc:AlternateContent>
  <xr:revisionPtr revIDLastSave="0" documentId="13_ncr:1_{A2962620-E0D1-484E-98F8-76A34C1B9D0E}" xr6:coauthVersionLast="47" xr6:coauthVersionMax="47" xr10:uidLastSave="{00000000-0000-0000-0000-000000000000}"/>
  <bookViews>
    <workbookView xWindow="-120" yWindow="-120" windowWidth="38640" windowHeight="21120" firstSheet="1" activeTab="4" xr2:uid="{00000000-000D-0000-FFFF-FFFF00000000}"/>
  </bookViews>
  <sheets>
    <sheet name="Table 1" sheetId="1" r:id="rId1"/>
    <sheet name="Table 1-mod" sheetId="2" r:id="rId2"/>
    <sheet name="CVOC Properties" sheetId="4" r:id="rId3"/>
    <sheet name="Csat Graph" sheetId="7" r:id="rId4"/>
    <sheet name="Csat-Calc" sheetId="3" r:id="rId5"/>
    <sheet name="TOC" sheetId="8" r:id="rId6"/>
    <sheet name="DNAPL Height" sheetId="6" r:id="rId7"/>
    <sheet name="Sheet1" sheetId="5" state="hidden" r:id="rId8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6" i="3" l="1"/>
  <c r="C54" i="3"/>
  <c r="B54" i="3"/>
  <c r="G26" i="3"/>
  <c r="K51" i="3"/>
  <c r="I26" i="3"/>
  <c r="P12" i="3"/>
  <c r="J118" i="3"/>
  <c r="J51" i="3"/>
  <c r="I136" i="3"/>
  <c r="D54" i="3"/>
  <c r="G51" i="3"/>
  <c r="G28" i="3"/>
  <c r="G27" i="3"/>
  <c r="G29" i="3"/>
  <c r="G31" i="3"/>
  <c r="G30" i="3"/>
  <c r="H27" i="3"/>
  <c r="F54" i="3"/>
  <c r="B3" i="6"/>
  <c r="B8" i="6"/>
  <c r="F57" i="8"/>
  <c r="G57" i="8" s="1"/>
  <c r="F56" i="8"/>
  <c r="G56" i="8" s="1"/>
  <c r="F53" i="8"/>
  <c r="F54" i="8"/>
  <c r="F52" i="8"/>
  <c r="E51" i="8"/>
  <c r="E12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13" i="8"/>
  <c r="A54" i="8" s="1"/>
  <c r="B54" i="8" s="1"/>
  <c r="B4" i="8"/>
  <c r="B5" i="8"/>
  <c r="B6" i="8"/>
  <c r="B7" i="8"/>
  <c r="B8" i="8"/>
  <c r="B9" i="8"/>
  <c r="B10" i="8"/>
  <c r="B11" i="8"/>
  <c r="B12" i="8"/>
  <c r="B3" i="8"/>
  <c r="A52" i="8" l="1"/>
  <c r="B52" i="8" s="1"/>
  <c r="A53" i="8"/>
  <c r="B53" i="8" s="1"/>
  <c r="H28" i="3" l="1"/>
  <c r="I28" i="3"/>
  <c r="H29" i="3"/>
  <c r="H30" i="3"/>
  <c r="I27" i="3"/>
  <c r="D3" i="6"/>
  <c r="F5" i="6"/>
  <c r="B4" i="6"/>
  <c r="D4" i="6" s="1"/>
  <c r="U12" i="6"/>
  <c r="U8" i="6"/>
  <c r="U9" i="6"/>
  <c r="U10" i="6"/>
  <c r="U11" i="6"/>
  <c r="U7" i="6"/>
  <c r="L7" i="6"/>
  <c r="M7" i="6" s="1"/>
  <c r="D20" i="6"/>
  <c r="B12" i="6"/>
  <c r="B9" i="6"/>
  <c r="B13" i="6"/>
  <c r="F13" i="6" s="1"/>
  <c r="F10" i="6"/>
  <c r="E12" i="6"/>
  <c r="C80" i="3"/>
  <c r="F80" i="3" s="1"/>
  <c r="C64" i="3"/>
  <c r="E23" i="6"/>
  <c r="G23" i="6" s="1"/>
  <c r="G31" i="6"/>
  <c r="H31" i="6" s="1"/>
  <c r="I31" i="6" s="1"/>
  <c r="B22" i="6"/>
  <c r="B21" i="6" s="1"/>
  <c r="N14" i="3"/>
  <c r="N13" i="3"/>
  <c r="N12" i="3"/>
  <c r="U5" i="3"/>
  <c r="T5" i="3"/>
  <c r="S5" i="3"/>
  <c r="V5" i="3" s="1"/>
  <c r="F64" i="3" l="1"/>
  <c r="B64" i="3"/>
  <c r="D64" i="3" s="1"/>
  <c r="C145" i="3"/>
  <c r="C112" i="3"/>
  <c r="B80" i="3"/>
  <c r="D80" i="3" s="1"/>
  <c r="C136" i="3"/>
  <c r="C104" i="3"/>
  <c r="C72" i="3"/>
  <c r="C65" i="3"/>
  <c r="C58" i="3"/>
  <c r="C66" i="3"/>
  <c r="B66" i="3" s="1"/>
  <c r="D66" i="3" s="1"/>
  <c r="C74" i="3"/>
  <c r="C82" i="3"/>
  <c r="C90" i="3"/>
  <c r="B90" i="3" s="1"/>
  <c r="D90" i="3" s="1"/>
  <c r="C98" i="3"/>
  <c r="B98" i="3" s="1"/>
  <c r="D98" i="3" s="1"/>
  <c r="C106" i="3"/>
  <c r="C114" i="3"/>
  <c r="F114" i="3" s="1"/>
  <c r="C122" i="3"/>
  <c r="B122" i="3" s="1"/>
  <c r="D122" i="3" s="1"/>
  <c r="C130" i="3"/>
  <c r="B130" i="3" s="1"/>
  <c r="D130" i="3" s="1"/>
  <c r="C138" i="3"/>
  <c r="F138" i="3" s="1"/>
  <c r="C146" i="3"/>
  <c r="B146" i="3" s="1"/>
  <c r="D146" i="3" s="1"/>
  <c r="C111" i="3"/>
  <c r="C143" i="3"/>
  <c r="C59" i="3"/>
  <c r="C67" i="3"/>
  <c r="B67" i="3" s="1"/>
  <c r="D67" i="3" s="1"/>
  <c r="C75" i="3"/>
  <c r="C83" i="3"/>
  <c r="F83" i="3" s="1"/>
  <c r="C91" i="3"/>
  <c r="B91" i="3" s="1"/>
  <c r="D91" i="3" s="1"/>
  <c r="C99" i="3"/>
  <c r="F99" i="3" s="1"/>
  <c r="C107" i="3"/>
  <c r="F107" i="3" s="1"/>
  <c r="C115" i="3"/>
  <c r="C123" i="3"/>
  <c r="B123" i="3" s="1"/>
  <c r="D123" i="3" s="1"/>
  <c r="C131" i="3"/>
  <c r="B131" i="3" s="1"/>
  <c r="D131" i="3" s="1"/>
  <c r="C139" i="3"/>
  <c r="F139" i="3" s="1"/>
  <c r="C147" i="3"/>
  <c r="B147" i="3" s="1"/>
  <c r="D147" i="3" s="1"/>
  <c r="C60" i="3"/>
  <c r="C68" i="3"/>
  <c r="B68" i="3" s="1"/>
  <c r="D68" i="3" s="1"/>
  <c r="C76" i="3"/>
  <c r="C84" i="3"/>
  <c r="B84" i="3" s="1"/>
  <c r="D84" i="3" s="1"/>
  <c r="C92" i="3"/>
  <c r="B92" i="3" s="1"/>
  <c r="D92" i="3" s="1"/>
  <c r="C100" i="3"/>
  <c r="C108" i="3"/>
  <c r="C116" i="3"/>
  <c r="B116" i="3" s="1"/>
  <c r="D116" i="3" s="1"/>
  <c r="C124" i="3"/>
  <c r="B124" i="3" s="1"/>
  <c r="D124" i="3" s="1"/>
  <c r="C132" i="3"/>
  <c r="B132" i="3" s="1"/>
  <c r="D132" i="3" s="1"/>
  <c r="C140" i="3"/>
  <c r="C148" i="3"/>
  <c r="B148" i="3" s="1"/>
  <c r="D148" i="3" s="1"/>
  <c r="C61" i="3"/>
  <c r="F61" i="3" s="1"/>
  <c r="C69" i="3"/>
  <c r="B69" i="3" s="1"/>
  <c r="D69" i="3" s="1"/>
  <c r="C77" i="3"/>
  <c r="B77" i="3" s="1"/>
  <c r="D77" i="3" s="1"/>
  <c r="C85" i="3"/>
  <c r="F85" i="3" s="1"/>
  <c r="C93" i="3"/>
  <c r="B93" i="3" s="1"/>
  <c r="D93" i="3" s="1"/>
  <c r="C101" i="3"/>
  <c r="F101" i="3" s="1"/>
  <c r="C109" i="3"/>
  <c r="B109" i="3" s="1"/>
  <c r="D109" i="3" s="1"/>
  <c r="C117" i="3"/>
  <c r="B117" i="3" s="1"/>
  <c r="D117" i="3" s="1"/>
  <c r="C125" i="3"/>
  <c r="B125" i="3" s="1"/>
  <c r="D125" i="3" s="1"/>
  <c r="C133" i="3"/>
  <c r="B133" i="3" s="1"/>
  <c r="D133" i="3" s="1"/>
  <c r="C141" i="3"/>
  <c r="B141" i="3" s="1"/>
  <c r="D141" i="3" s="1"/>
  <c r="C62" i="3"/>
  <c r="C70" i="3"/>
  <c r="B70" i="3" s="1"/>
  <c r="D70" i="3" s="1"/>
  <c r="C78" i="3"/>
  <c r="C86" i="3"/>
  <c r="B86" i="3" s="1"/>
  <c r="D86" i="3" s="1"/>
  <c r="C94" i="3"/>
  <c r="B94" i="3" s="1"/>
  <c r="D94" i="3" s="1"/>
  <c r="C102" i="3"/>
  <c r="B102" i="3" s="1"/>
  <c r="D102" i="3" s="1"/>
  <c r="C110" i="3"/>
  <c r="B110" i="3" s="1"/>
  <c r="D110" i="3" s="1"/>
  <c r="C118" i="3"/>
  <c r="C126" i="3"/>
  <c r="B126" i="3" s="1"/>
  <c r="D126" i="3" s="1"/>
  <c r="C134" i="3"/>
  <c r="B134" i="3" s="1"/>
  <c r="D134" i="3" s="1"/>
  <c r="C142" i="3"/>
  <c r="B142" i="3" s="1"/>
  <c r="D142" i="3" s="1"/>
  <c r="C55" i="3"/>
  <c r="C63" i="3"/>
  <c r="C71" i="3"/>
  <c r="C79" i="3"/>
  <c r="C87" i="3"/>
  <c r="C95" i="3"/>
  <c r="C103" i="3"/>
  <c r="C119" i="3"/>
  <c r="C127" i="3"/>
  <c r="C135" i="3"/>
  <c r="C113" i="3"/>
  <c r="C144" i="3"/>
  <c r="C137" i="3"/>
  <c r="C73" i="3"/>
  <c r="C129" i="3"/>
  <c r="C121" i="3"/>
  <c r="C89" i="3"/>
  <c r="C57" i="3"/>
  <c r="C105" i="3"/>
  <c r="B105" i="3" s="1"/>
  <c r="D105" i="3" s="1"/>
  <c r="C97" i="3"/>
  <c r="C128" i="3"/>
  <c r="C96" i="3"/>
  <c r="C120" i="3"/>
  <c r="B120" i="3" s="1"/>
  <c r="D120" i="3" s="1"/>
  <c r="C88" i="3"/>
  <c r="C56" i="3"/>
  <c r="C81" i="3"/>
  <c r="B101" i="3"/>
  <c r="D101" i="3" s="1"/>
  <c r="B83" i="3"/>
  <c r="D83" i="3" s="1"/>
  <c r="B107" i="3"/>
  <c r="D107" i="3" s="1"/>
  <c r="F142" i="3"/>
  <c r="F122" i="3"/>
  <c r="F68" i="3"/>
  <c r="F110" i="3"/>
  <c r="F67" i="3"/>
  <c r="F109" i="3"/>
  <c r="F130" i="3"/>
  <c r="F116" i="3"/>
  <c r="B5" i="6"/>
  <c r="D9" i="6"/>
  <c r="C30" i="3"/>
  <c r="B30" i="4"/>
  <c r="E30" i="4" s="1"/>
  <c r="B29" i="4"/>
  <c r="E29" i="4" s="1"/>
  <c r="B28" i="4"/>
  <c r="E28" i="4" s="1"/>
  <c r="C25" i="4"/>
  <c r="H13" i="4"/>
  <c r="F13" i="4"/>
  <c r="E13" i="4"/>
  <c r="D13" i="4"/>
  <c r="C13" i="4"/>
  <c r="H11" i="4"/>
  <c r="G11" i="4"/>
  <c r="N17" i="2"/>
  <c r="N16" i="2"/>
  <c r="F148" i="3" l="1"/>
  <c r="B85" i="3"/>
  <c r="D85" i="3" s="1"/>
  <c r="F90" i="3"/>
  <c r="F98" i="3"/>
  <c r="F84" i="3"/>
  <c r="F69" i="3"/>
  <c r="F86" i="3"/>
  <c r="F77" i="3"/>
  <c r="F91" i="3"/>
  <c r="F117" i="3"/>
  <c r="F141" i="3"/>
  <c r="F93" i="3"/>
  <c r="F124" i="3"/>
  <c r="F133" i="3"/>
  <c r="F131" i="3"/>
  <c r="F102" i="3"/>
  <c r="B138" i="3"/>
  <c r="D138" i="3" s="1"/>
  <c r="F146" i="3"/>
  <c r="B139" i="3"/>
  <c r="D139" i="3" s="1"/>
  <c r="F70" i="3"/>
  <c r="F126" i="3"/>
  <c r="F147" i="3"/>
  <c r="F134" i="3"/>
  <c r="B114" i="3"/>
  <c r="D114" i="3" s="1"/>
  <c r="F66" i="3"/>
  <c r="F132" i="3"/>
  <c r="F105" i="3"/>
  <c r="B99" i="3"/>
  <c r="D99" i="3" s="1"/>
  <c r="F56" i="3"/>
  <c r="B56" i="3"/>
  <c r="D56" i="3" s="1"/>
  <c r="F127" i="3"/>
  <c r="B127" i="3"/>
  <c r="D127" i="3" s="1"/>
  <c r="F72" i="3"/>
  <c r="B72" i="3"/>
  <c r="D72" i="3" s="1"/>
  <c r="F88" i="3"/>
  <c r="B88" i="3"/>
  <c r="D88" i="3" s="1"/>
  <c r="F121" i="3"/>
  <c r="B121" i="3"/>
  <c r="D121" i="3" s="1"/>
  <c r="F119" i="3"/>
  <c r="B119" i="3"/>
  <c r="D119" i="3" s="1"/>
  <c r="F115" i="3"/>
  <c r="B115" i="3"/>
  <c r="D115" i="3" s="1"/>
  <c r="F143" i="3"/>
  <c r="B143" i="3"/>
  <c r="D143" i="3" s="1"/>
  <c r="F104" i="3"/>
  <c r="B104" i="3"/>
  <c r="D104" i="3" s="1"/>
  <c r="F129" i="3"/>
  <c r="B129" i="3"/>
  <c r="D129" i="3" s="1"/>
  <c r="F103" i="3"/>
  <c r="B103" i="3"/>
  <c r="D103" i="3" s="1"/>
  <c r="F78" i="3"/>
  <c r="B78" i="3"/>
  <c r="D78" i="3" s="1"/>
  <c r="F140" i="3"/>
  <c r="B140" i="3"/>
  <c r="D140" i="3" s="1"/>
  <c r="F76" i="3"/>
  <c r="B76" i="3"/>
  <c r="D76" i="3" s="1"/>
  <c r="F111" i="3"/>
  <c r="B111" i="3"/>
  <c r="D111" i="3" s="1"/>
  <c r="F136" i="3"/>
  <c r="B136" i="3"/>
  <c r="D136" i="3" s="1"/>
  <c r="F106" i="3"/>
  <c r="B106" i="3"/>
  <c r="D106" i="3" s="1"/>
  <c r="F120" i="3"/>
  <c r="F94" i="3"/>
  <c r="F96" i="3"/>
  <c r="B96" i="3"/>
  <c r="D96" i="3" s="1"/>
  <c r="F73" i="3"/>
  <c r="B73" i="3"/>
  <c r="D73" i="3" s="1"/>
  <c r="F95" i="3"/>
  <c r="B95" i="3"/>
  <c r="D95" i="3" s="1"/>
  <c r="F82" i="3"/>
  <c r="B82" i="3"/>
  <c r="D82" i="3" s="1"/>
  <c r="F89" i="3"/>
  <c r="B89" i="3"/>
  <c r="D89" i="3" s="1"/>
  <c r="F128" i="3"/>
  <c r="B128" i="3"/>
  <c r="D128" i="3" s="1"/>
  <c r="F137" i="3"/>
  <c r="B137" i="3"/>
  <c r="D137" i="3" s="1"/>
  <c r="F87" i="3"/>
  <c r="B87" i="3"/>
  <c r="D87" i="3" s="1"/>
  <c r="F62" i="3"/>
  <c r="B62" i="3"/>
  <c r="D62" i="3" s="1"/>
  <c r="F60" i="3"/>
  <c r="B60" i="3"/>
  <c r="D60" i="3" s="1"/>
  <c r="F74" i="3"/>
  <c r="B74" i="3"/>
  <c r="D74" i="3" s="1"/>
  <c r="F112" i="3"/>
  <c r="B112" i="3"/>
  <c r="D112" i="3" s="1"/>
  <c r="F125" i="3"/>
  <c r="F97" i="3"/>
  <c r="B97" i="3"/>
  <c r="D97" i="3" s="1"/>
  <c r="F144" i="3"/>
  <c r="B144" i="3"/>
  <c r="D144" i="3" s="1"/>
  <c r="F79" i="3"/>
  <c r="B79" i="3"/>
  <c r="D79" i="3" s="1"/>
  <c r="F118" i="3"/>
  <c r="B118" i="3"/>
  <c r="D118" i="3" s="1"/>
  <c r="F145" i="3"/>
  <c r="B145" i="3"/>
  <c r="D145" i="3" s="1"/>
  <c r="F55" i="3"/>
  <c r="B55" i="3"/>
  <c r="D55" i="3" s="1"/>
  <c r="B61" i="3"/>
  <c r="D61" i="3" s="1"/>
  <c r="F113" i="3"/>
  <c r="B113" i="3"/>
  <c r="D113" i="3" s="1"/>
  <c r="F71" i="3"/>
  <c r="B71" i="3"/>
  <c r="D71" i="3" s="1"/>
  <c r="F108" i="3"/>
  <c r="B108" i="3"/>
  <c r="D108" i="3" s="1"/>
  <c r="F75" i="3"/>
  <c r="B75" i="3"/>
  <c r="D75" i="3" s="1"/>
  <c r="F58" i="3"/>
  <c r="B58" i="3"/>
  <c r="D58" i="3" s="1"/>
  <c r="F59" i="3"/>
  <c r="B59" i="3"/>
  <c r="D59" i="3" s="1"/>
  <c r="F92" i="3"/>
  <c r="F123" i="3"/>
  <c r="F81" i="3"/>
  <c r="B81" i="3"/>
  <c r="D81" i="3" s="1"/>
  <c r="F57" i="3"/>
  <c r="B57" i="3"/>
  <c r="D57" i="3" s="1"/>
  <c r="F135" i="3"/>
  <c r="B135" i="3"/>
  <c r="D135" i="3" s="1"/>
  <c r="F63" i="3"/>
  <c r="B63" i="3"/>
  <c r="D63" i="3" s="1"/>
  <c r="F100" i="3"/>
  <c r="B100" i="3"/>
  <c r="D100" i="3" s="1"/>
  <c r="F65" i="3"/>
  <c r="B65" i="3"/>
  <c r="D65" i="3" s="1"/>
  <c r="P14" i="3"/>
  <c r="P13" i="3"/>
  <c r="U11" i="3"/>
  <c r="T11" i="3"/>
  <c r="S11" i="3"/>
  <c r="V11" i="3" s="1"/>
  <c r="U4" i="3"/>
  <c r="T4" i="3"/>
  <c r="S4" i="3"/>
  <c r="V4" i="3" s="1"/>
  <c r="U3" i="3"/>
  <c r="T3" i="3"/>
  <c r="S3" i="3"/>
  <c r="B47" i="2"/>
  <c r="H25" i="2"/>
  <c r="H21" i="2"/>
  <c r="G21" i="2"/>
  <c r="G22" i="2"/>
  <c r="G23" i="2"/>
  <c r="G24" i="2"/>
  <c r="G25" i="2"/>
  <c r="G26" i="2"/>
  <c r="G20" i="2"/>
  <c r="G7" i="2"/>
  <c r="S13" i="3" l="1"/>
  <c r="V3" i="3"/>
  <c r="S12" i="3"/>
  <c r="S14" i="3"/>
  <c r="T13" i="3"/>
  <c r="T14" i="3"/>
  <c r="T12" i="3"/>
  <c r="U12" i="3"/>
  <c r="U14" i="3"/>
  <c r="U13" i="3"/>
  <c r="G32" i="3" l="1"/>
  <c r="V12" i="3"/>
  <c r="V14" i="3"/>
  <c r="V13" i="3"/>
  <c r="K32" i="3" l="1"/>
  <c r="K27" i="3"/>
  <c r="L27" i="3" s="1"/>
  <c r="K30" i="3"/>
  <c r="L30" i="3" s="1"/>
  <c r="K29" i="3"/>
  <c r="H26" i="3"/>
  <c r="L26" i="3"/>
  <c r="K28" i="3"/>
  <c r="L28" i="3" s="1"/>
  <c r="K31" i="3"/>
  <c r="L31" i="3" s="1"/>
  <c r="L32" i="3"/>
  <c r="H32" i="3"/>
  <c r="H31" i="3"/>
  <c r="L2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tc={5E9FB675-02B5-4521-BB81-D9752F1AB505}</author>
    <author>tc={7A4FFBEF-A5FC-456C-8071-9861F00EAA76}</author>
  </authors>
  <commentList>
    <comment ref="B52" authorId="0" shapeId="0" xr:uid="{5E9FB675-02B5-4521-BB81-D9752F1AB505}">
      <text>
        <t>[Threaded comment]
Your version of Excel allows you to read this threaded comment; however, any edits to it will get removed if the file is opened in a newer version of Excel. Learn more: https://go.microsoft.com/fwlink/?linkid=870924
Comment:
    Below formula is different. Bulk density not used in denominator.</t>
      </text>
    </comment>
    <comment ref="B53" authorId="1" shapeId="0" xr:uid="{7A4FFBEF-A5FC-456C-8071-9861F00EAA76}">
      <text>
        <t>[Threaded comment]
Your version of Excel allows you to read this threaded comment; however, any edits to it will get removed if the file is opened in a newer version of Excel. Learn more: https://go.microsoft.com/fwlink/?linkid=870924
Comment:
    Units?? g/mL?</t>
      </text>
    </comment>
  </commentList>
</comments>
</file>

<file path=xl/sharedStrings.xml><?xml version="1.0" encoding="utf-8"?>
<sst xmlns="http://schemas.openxmlformats.org/spreadsheetml/2006/main" count="516" uniqueCount="267">
  <si>
    <r>
      <rPr>
        <b/>
        <sz val="10"/>
        <rFont val="Arial"/>
        <family val="2"/>
      </rPr>
      <t xml:space="preserve">Table 2
</t>
    </r>
    <r>
      <rPr>
        <b/>
        <sz val="10"/>
        <rFont val="Arial"/>
        <family val="2"/>
      </rPr>
      <t xml:space="preserve">Geotechnical Sample Results
</t>
    </r>
    <r>
      <rPr>
        <b/>
        <sz val="10"/>
        <rFont val="Arial"/>
        <family val="2"/>
      </rPr>
      <t xml:space="preserve">Peninsula Boulevard OU2 Superfund Site
</t>
    </r>
    <r>
      <rPr>
        <b/>
        <sz val="10"/>
        <rFont val="Arial"/>
        <family val="2"/>
      </rPr>
      <t>Village of Hewlett, Town of Hempstead, Nassau County, New York Pre-Design Investigation Data Evaluation Report, November 2021</t>
    </r>
  </si>
  <si>
    <r>
      <rPr>
        <sz val="10"/>
        <color rgb="FF1D1D1D"/>
        <rFont val="Arial"/>
        <family val="2"/>
      </rPr>
      <t>Location ID</t>
    </r>
  </si>
  <si>
    <r>
      <rPr>
        <sz val="10"/>
        <color rgb="FF1D1D1D"/>
        <rFont val="Arial"/>
        <family val="2"/>
      </rPr>
      <t>VPB-015</t>
    </r>
  </si>
  <si>
    <r>
      <rPr>
        <sz val="10"/>
        <color rgb="FF1D1D1D"/>
        <rFont val="Arial"/>
        <family val="2"/>
      </rPr>
      <t>Sample Date</t>
    </r>
  </si>
  <si>
    <r>
      <rPr>
        <sz val="10"/>
        <color rgb="FF1D1D1D"/>
        <rFont val="Arial"/>
        <family val="2"/>
      </rPr>
      <t>Depth Range (ft bgs)</t>
    </r>
  </si>
  <si>
    <r>
      <rPr>
        <sz val="10"/>
        <color rgb="FF1D1D1D"/>
        <rFont val="Arial"/>
        <family val="2"/>
      </rPr>
      <t>26.0-28.0</t>
    </r>
  </si>
  <si>
    <r>
      <rPr>
        <sz val="10"/>
        <color rgb="FF1D1D1D"/>
        <rFont val="Arial"/>
        <family val="2"/>
      </rPr>
      <t>30.9-32.8</t>
    </r>
  </si>
  <si>
    <r>
      <rPr>
        <sz val="10"/>
        <color rgb="FF1D1D1D"/>
        <rFont val="Arial"/>
        <family val="2"/>
      </rPr>
      <t>39.0-41.0</t>
    </r>
  </si>
  <si>
    <r>
      <rPr>
        <sz val="10"/>
        <color rgb="FF1D1D1D"/>
        <rFont val="Arial"/>
        <family val="2"/>
      </rPr>
      <t>49.0-51.0</t>
    </r>
  </si>
  <si>
    <r>
      <rPr>
        <sz val="10"/>
        <color rgb="FF1D1D1D"/>
        <rFont val="Arial"/>
        <family val="2"/>
      </rPr>
      <t>65.0-67.0</t>
    </r>
  </si>
  <si>
    <r>
      <rPr>
        <sz val="10"/>
        <color rgb="FF1D1D1D"/>
        <rFont val="Arial"/>
        <family val="2"/>
      </rPr>
      <t>Sample ID</t>
    </r>
  </si>
  <si>
    <r>
      <rPr>
        <sz val="10"/>
        <color rgb="FF1D1D1D"/>
        <rFont val="Arial"/>
        <family val="2"/>
      </rPr>
      <t xml:space="preserve">PB-2021-GT-VPB-015
</t>
    </r>
    <r>
      <rPr>
        <sz val="10"/>
        <color rgb="FF1D1D1D"/>
        <rFont val="Arial"/>
        <family val="2"/>
      </rPr>
      <t>26.0-28.0</t>
    </r>
  </si>
  <si>
    <r>
      <rPr>
        <sz val="10"/>
        <color rgb="FF1D1D1D"/>
        <rFont val="Arial"/>
        <family val="2"/>
      </rPr>
      <t xml:space="preserve">PB-2021-GT-VPB-015
</t>
    </r>
    <r>
      <rPr>
        <sz val="10"/>
        <color rgb="FF1D1D1D"/>
        <rFont val="Arial"/>
        <family val="2"/>
      </rPr>
      <t>30.9-32.8</t>
    </r>
  </si>
  <si>
    <r>
      <rPr>
        <sz val="10"/>
        <color rgb="FF1D1D1D"/>
        <rFont val="Arial"/>
        <family val="2"/>
      </rPr>
      <t xml:space="preserve">PB-2021-GT-VPB-015
</t>
    </r>
    <r>
      <rPr>
        <sz val="10"/>
        <color rgb="FF1D1D1D"/>
        <rFont val="Arial"/>
        <family val="2"/>
      </rPr>
      <t>39.0-41.0</t>
    </r>
  </si>
  <si>
    <r>
      <rPr>
        <sz val="10"/>
        <color rgb="FF1D1D1D"/>
        <rFont val="Arial"/>
        <family val="2"/>
      </rPr>
      <t xml:space="preserve">PB-2021-GT-VPB-015
</t>
    </r>
    <r>
      <rPr>
        <sz val="10"/>
        <color rgb="FF1D1D1D"/>
        <rFont val="Arial"/>
        <family val="2"/>
      </rPr>
      <t>49.0-51.0</t>
    </r>
  </si>
  <si>
    <r>
      <rPr>
        <sz val="10"/>
        <color rgb="FF1D1D1D"/>
        <rFont val="Arial"/>
        <family val="2"/>
      </rPr>
      <t xml:space="preserve">PB-2021-GT-VPB-015
</t>
    </r>
    <r>
      <rPr>
        <sz val="10"/>
        <color rgb="FF1D1D1D"/>
        <rFont val="Arial"/>
        <family val="2"/>
      </rPr>
      <t>65.0-67.0</t>
    </r>
  </si>
  <si>
    <r>
      <rPr>
        <b/>
        <sz val="9"/>
        <color rgb="FF1D1D1D"/>
        <rFont val="Arial"/>
        <family val="2"/>
      </rPr>
      <t>Analysis</t>
    </r>
  </si>
  <si>
    <r>
      <rPr>
        <sz val="9"/>
        <color rgb="FF1D1D1D"/>
        <rFont val="Arial"/>
        <family val="2"/>
      </rPr>
      <t>Fraction Organic Content (%)</t>
    </r>
  </si>
  <si>
    <r>
      <rPr>
        <sz val="9"/>
        <color rgb="FF1D1D1D"/>
        <rFont val="Arial"/>
        <family val="2"/>
      </rPr>
      <t>Bulk Density (pcf)</t>
    </r>
  </si>
  <si>
    <r>
      <rPr>
        <sz val="9"/>
        <rFont val="Arial"/>
        <family val="2"/>
      </rPr>
      <t>NA</t>
    </r>
  </si>
  <si>
    <r>
      <rPr>
        <sz val="9"/>
        <color rgb="FF1D1D1D"/>
        <rFont val="Arial"/>
        <family val="2"/>
      </rPr>
      <t>Moisture Content (%)</t>
    </r>
  </si>
  <si>
    <r>
      <rPr>
        <sz val="9"/>
        <color rgb="FF1D1D1D"/>
        <rFont val="Arial"/>
        <family val="2"/>
      </rPr>
      <t>Dry Density (pcf)</t>
    </r>
  </si>
  <si>
    <r>
      <rPr>
        <sz val="9"/>
        <color rgb="FF1D1D1D"/>
        <rFont val="Arial"/>
        <family val="2"/>
      </rPr>
      <t>Specific Gravity at 20</t>
    </r>
    <r>
      <rPr>
        <sz val="9"/>
        <color rgb="FF1D1D1D"/>
        <rFont val="Calibri"/>
        <family val="2"/>
      </rPr>
      <t>°</t>
    </r>
    <r>
      <rPr>
        <sz val="9"/>
        <color rgb="FF1D1D1D"/>
        <rFont val="Arial"/>
        <family val="2"/>
      </rPr>
      <t>C</t>
    </r>
  </si>
  <si>
    <r>
      <rPr>
        <sz val="9"/>
        <color rgb="FF1D1D1D"/>
        <rFont val="Arial"/>
        <family val="2"/>
      </rPr>
      <t>Porosity</t>
    </r>
  </si>
  <si>
    <r>
      <rPr>
        <sz val="9"/>
        <color rgb="FF1D1D1D"/>
        <rFont val="Arial"/>
        <family val="2"/>
      </rPr>
      <t>Void Ratio</t>
    </r>
  </si>
  <si>
    <r>
      <rPr>
        <sz val="10"/>
        <color rgb="FF1D1D1D"/>
        <rFont val="Arial"/>
        <family val="2"/>
      </rPr>
      <t>VPB-104</t>
    </r>
  </si>
  <si>
    <r>
      <rPr>
        <sz val="10"/>
        <color rgb="FF1D1D1D"/>
        <rFont val="Arial"/>
        <family val="2"/>
      </rPr>
      <t>VPB-104*</t>
    </r>
  </si>
  <si>
    <r>
      <rPr>
        <sz val="10"/>
        <color rgb="FF1D1D1D"/>
        <rFont val="Arial"/>
        <family val="2"/>
      </rPr>
      <t>20.0-22.0</t>
    </r>
  </si>
  <si>
    <r>
      <rPr>
        <sz val="10"/>
        <color rgb="FF1D1D1D"/>
        <rFont val="Arial"/>
        <family val="2"/>
      </rPr>
      <t>29.5-31.5</t>
    </r>
  </si>
  <si>
    <r>
      <rPr>
        <sz val="10"/>
        <color rgb="FF1D1D1D"/>
        <rFont val="Arial"/>
        <family val="2"/>
      </rPr>
      <t>32.0-34.0</t>
    </r>
  </si>
  <si>
    <r>
      <rPr>
        <sz val="10"/>
        <color rgb="FF1D1D1D"/>
        <rFont val="Arial"/>
        <family val="2"/>
      </rPr>
      <t>46.0-48.0</t>
    </r>
  </si>
  <si>
    <r>
      <rPr>
        <sz val="10"/>
        <color rgb="FF1D1D1D"/>
        <rFont val="Arial"/>
        <family val="2"/>
      </rPr>
      <t>66.5-68.5</t>
    </r>
  </si>
  <si>
    <r>
      <rPr>
        <sz val="10"/>
        <color rgb="FF1D1D1D"/>
        <rFont val="Arial"/>
        <family val="2"/>
      </rPr>
      <t xml:space="preserve">PB-2021-GT-VPB-104
</t>
    </r>
    <r>
      <rPr>
        <sz val="10"/>
        <color rgb="FF1D1D1D"/>
        <rFont val="Arial"/>
        <family val="2"/>
      </rPr>
      <t>20.0-22.0</t>
    </r>
  </si>
  <si>
    <r>
      <rPr>
        <sz val="10"/>
        <color rgb="FF1D1D1D"/>
        <rFont val="Arial"/>
        <family val="2"/>
      </rPr>
      <t xml:space="preserve">PB-2021-GT-VPB-104
</t>
    </r>
    <r>
      <rPr>
        <sz val="10"/>
        <color rgb="FF1D1D1D"/>
        <rFont val="Arial"/>
        <family val="2"/>
      </rPr>
      <t>29.5-31.5</t>
    </r>
  </si>
  <si>
    <r>
      <rPr>
        <sz val="10"/>
        <color rgb="FF1D1D1D"/>
        <rFont val="Arial"/>
        <family val="2"/>
      </rPr>
      <t xml:space="preserve">PB-2021-GT-VPB-104
</t>
    </r>
    <r>
      <rPr>
        <sz val="10"/>
        <color rgb="FF1D1D1D"/>
        <rFont val="Arial"/>
        <family val="2"/>
      </rPr>
      <t>32.0-34.0</t>
    </r>
  </si>
  <si>
    <r>
      <rPr>
        <sz val="10"/>
        <color rgb="FF1D1D1D"/>
        <rFont val="Arial"/>
        <family val="2"/>
      </rPr>
      <t xml:space="preserve">PB-2021-GT-VPB-104
</t>
    </r>
    <r>
      <rPr>
        <sz val="10"/>
        <color rgb="FF1D1D1D"/>
        <rFont val="Arial"/>
        <family val="2"/>
      </rPr>
      <t>46.0-48.0</t>
    </r>
  </si>
  <si>
    <r>
      <rPr>
        <sz val="10"/>
        <color rgb="FF1D1D1D"/>
        <rFont val="Arial"/>
        <family val="2"/>
      </rPr>
      <t xml:space="preserve">PB-2021-GT-VPB-104
</t>
    </r>
    <r>
      <rPr>
        <sz val="10"/>
        <color rgb="FF1D1D1D"/>
        <rFont val="Arial"/>
        <family val="2"/>
      </rPr>
      <t>66.5-68.5</t>
    </r>
  </si>
  <si>
    <r>
      <rPr>
        <b/>
        <sz val="10"/>
        <rFont val="Arial"/>
        <family val="2"/>
      </rPr>
      <t xml:space="preserve">Notes:
</t>
    </r>
    <r>
      <rPr>
        <sz val="10"/>
        <rFont val="Arial"/>
        <family val="2"/>
      </rPr>
      <t xml:space="preserve">NA: Note Analyzed
</t>
    </r>
    <r>
      <rPr>
        <sz val="10"/>
        <rFont val="Arial"/>
        <family val="2"/>
      </rPr>
      <t xml:space="preserve">*: Density determined on reconstituted samples using Method B-Volumetric of ASTM D7263.
</t>
    </r>
    <r>
      <rPr>
        <sz val="10"/>
        <rFont val="Arial"/>
        <family val="2"/>
      </rPr>
      <t xml:space="preserve">Fraction Organic Content analysed by AASHTO T 267. Only material passing the No. 10 sieve used for testing.
</t>
    </r>
    <r>
      <rPr>
        <sz val="10"/>
        <rFont val="Arial"/>
        <family val="2"/>
      </rPr>
      <t xml:space="preserve">% - percent
</t>
    </r>
    <r>
      <rPr>
        <sz val="10"/>
        <rFont val="Arial"/>
        <family val="2"/>
      </rPr>
      <t xml:space="preserve">Density of Soil Specimens determined by ASTM D7263 PCF - pounds per cubic foot
</t>
    </r>
    <r>
      <rPr>
        <sz val="10"/>
        <rFont val="Arial"/>
        <family val="2"/>
      </rPr>
      <t xml:space="preserve">°C - degrees Celsius
</t>
    </r>
    <r>
      <rPr>
        <sz val="10"/>
        <rFont val="Arial"/>
        <family val="2"/>
      </rPr>
      <t xml:space="preserve">Moisture Content determined by ASTM D2216
</t>
    </r>
    <r>
      <rPr>
        <sz val="10"/>
        <rFont val="Arial"/>
        <family val="2"/>
      </rPr>
      <t>Specific gravity of material determined by using method B (oven dried specimens) of ASTM D854. See laboratory package (Appendix H) for sieve analysis results.</t>
    </r>
  </si>
  <si>
    <t>kg/L</t>
  </si>
  <si>
    <t>fOC</t>
  </si>
  <si>
    <t>%TOC</t>
  </si>
  <si>
    <t>Bulk</t>
  </si>
  <si>
    <t>moisture%</t>
  </si>
  <si>
    <t>Dry density</t>
  </si>
  <si>
    <t>GEOMEAN</t>
  </si>
  <si>
    <t>Average</t>
  </si>
  <si>
    <t>Median</t>
  </si>
  <si>
    <t>TABLE 4</t>
  </si>
  <si>
    <t>Physical and Chemical Properties</t>
  </si>
  <si>
    <t>Property</t>
  </si>
  <si>
    <t>Units</t>
  </si>
  <si>
    <t>Tetrachloroethene                          (PCE)</t>
  </si>
  <si>
    <t>Trichloroethene                          (TCE)</t>
  </si>
  <si>
    <t>cis-1,2-Dichloroethene                          (cis-1,2-DCE)</t>
  </si>
  <si>
    <t>Vinyl Chloride                           (VC)</t>
  </si>
  <si>
    <t>1,1,1-Trichloroethane                         (TCA)</t>
  </si>
  <si>
    <t>1,4-dioxane</t>
  </si>
  <si>
    <t xml:space="preserve">Chemical Formula </t>
  </si>
  <si>
    <t>---</t>
  </si>
  <si>
    <r>
      <t>C</t>
    </r>
    <r>
      <rPr>
        <vertAlign val="subscript"/>
        <sz val="10"/>
        <rFont val="Times New Roman"/>
        <family val="1"/>
      </rPr>
      <t>2</t>
    </r>
    <r>
      <rPr>
        <sz val="10"/>
        <rFont val="Times New Roman"/>
        <family val="1"/>
      </rPr>
      <t>Cl</t>
    </r>
    <r>
      <rPr>
        <vertAlign val="subscript"/>
        <sz val="10"/>
        <rFont val="Times New Roman"/>
        <family val="1"/>
      </rPr>
      <t>4</t>
    </r>
  </si>
  <si>
    <r>
      <t>C</t>
    </r>
    <r>
      <rPr>
        <vertAlign val="subscript"/>
        <sz val="10"/>
        <rFont val="Times New Roman"/>
        <family val="1"/>
      </rPr>
      <t>2</t>
    </r>
    <r>
      <rPr>
        <sz val="10"/>
        <rFont val="Times New Roman"/>
        <family val="1"/>
      </rPr>
      <t>HCl3</t>
    </r>
  </si>
  <si>
    <r>
      <t>C</t>
    </r>
    <r>
      <rPr>
        <vertAlign val="subscript"/>
        <sz val="10"/>
        <rFont val="Times New Roman"/>
        <family val="1"/>
      </rPr>
      <t>2</t>
    </r>
    <r>
      <rPr>
        <sz val="10"/>
        <rFont val="Times New Roman"/>
        <family val="1"/>
      </rPr>
      <t>H</t>
    </r>
    <r>
      <rPr>
        <vertAlign val="subscript"/>
        <sz val="10"/>
        <rFont val="Times New Roman"/>
        <family val="1"/>
      </rPr>
      <t>2</t>
    </r>
    <r>
      <rPr>
        <sz val="10"/>
        <rFont val="Times New Roman"/>
        <family val="1"/>
      </rPr>
      <t>Cl</t>
    </r>
    <r>
      <rPr>
        <vertAlign val="subscript"/>
        <sz val="10"/>
        <rFont val="Times New Roman"/>
        <family val="1"/>
      </rPr>
      <t>2</t>
    </r>
  </si>
  <si>
    <r>
      <t>C</t>
    </r>
    <r>
      <rPr>
        <vertAlign val="subscript"/>
        <sz val="10"/>
        <rFont val="Times New Roman"/>
        <family val="1"/>
      </rPr>
      <t>2</t>
    </r>
    <r>
      <rPr>
        <sz val="10"/>
        <rFont val="Times New Roman"/>
        <family val="1"/>
      </rPr>
      <t>H</t>
    </r>
    <r>
      <rPr>
        <vertAlign val="subscript"/>
        <sz val="10"/>
        <rFont val="Times New Roman"/>
        <family val="1"/>
      </rPr>
      <t>3</t>
    </r>
    <r>
      <rPr>
        <sz val="10"/>
        <rFont val="Times New Roman"/>
        <family val="1"/>
      </rPr>
      <t>Cl</t>
    </r>
  </si>
  <si>
    <r>
      <t>CCl</t>
    </r>
    <r>
      <rPr>
        <vertAlign val="subscript"/>
        <sz val="10"/>
        <rFont val="Times New Roman"/>
        <family val="1"/>
      </rPr>
      <t>3</t>
    </r>
    <r>
      <rPr>
        <sz val="10"/>
        <rFont val="Times New Roman"/>
        <family val="1"/>
      </rPr>
      <t>CH</t>
    </r>
    <r>
      <rPr>
        <vertAlign val="subscript"/>
        <sz val="10"/>
        <rFont val="Times New Roman"/>
        <family val="1"/>
      </rPr>
      <t>3</t>
    </r>
  </si>
  <si>
    <r>
      <t>C</t>
    </r>
    <r>
      <rPr>
        <vertAlign val="subscript"/>
        <sz val="10"/>
        <rFont val="Times New Roman"/>
        <family val="1"/>
      </rPr>
      <t>2</t>
    </r>
    <r>
      <rPr>
        <sz val="10"/>
        <rFont val="Times New Roman"/>
        <family val="1"/>
      </rPr>
      <t>H</t>
    </r>
    <r>
      <rPr>
        <vertAlign val="subscript"/>
        <sz val="10"/>
        <rFont val="Times New Roman"/>
        <family val="1"/>
      </rPr>
      <t>8</t>
    </r>
    <r>
      <rPr>
        <sz val="10"/>
        <rFont val="Times New Roman"/>
        <family val="1"/>
      </rPr>
      <t>O</t>
    </r>
    <r>
      <rPr>
        <vertAlign val="subscript"/>
        <sz val="10"/>
        <rFont val="Times New Roman"/>
        <family val="1"/>
      </rPr>
      <t>2</t>
    </r>
  </si>
  <si>
    <t xml:space="preserve">Molecular Weight </t>
  </si>
  <si>
    <t>g/mole</t>
  </si>
  <si>
    <r>
      <t>Density (</t>
    </r>
    <r>
      <rPr>
        <b/>
        <sz val="10"/>
        <rFont val="Calibri"/>
        <family val="2"/>
      </rPr>
      <t>ρ</t>
    </r>
    <r>
      <rPr>
        <b/>
        <sz val="10"/>
        <rFont val="Times New Roman"/>
        <family val="1"/>
      </rPr>
      <t xml:space="preserve">) </t>
    </r>
  </si>
  <si>
    <t>g/mL</t>
  </si>
  <si>
    <t>Average Solubility (S)</t>
  </si>
  <si>
    <t>mg/L</t>
  </si>
  <si>
    <t>miscible</t>
  </si>
  <si>
    <r>
      <t>Soil Sorption            Coefficient (K</t>
    </r>
    <r>
      <rPr>
        <b/>
        <vertAlign val="subscript"/>
        <sz val="10"/>
        <rFont val="Times New Roman"/>
        <family val="1"/>
      </rPr>
      <t>oc</t>
    </r>
    <r>
      <rPr>
        <b/>
        <sz val="10"/>
        <rFont val="Times New Roman"/>
        <family val="1"/>
      </rPr>
      <t>)**</t>
    </r>
  </si>
  <si>
    <t>mL/g</t>
  </si>
  <si>
    <t xml:space="preserve">Henry's Constant (H) </t>
  </si>
  <si>
    <r>
      <t>atm-m</t>
    </r>
    <r>
      <rPr>
        <b/>
        <vertAlign val="superscript"/>
        <sz val="10"/>
        <rFont val="Times New Roman"/>
        <family val="1"/>
      </rPr>
      <t>3</t>
    </r>
    <r>
      <rPr>
        <b/>
        <sz val="10"/>
        <rFont val="Times New Roman"/>
        <family val="1"/>
      </rPr>
      <t>/mol</t>
    </r>
  </si>
  <si>
    <r>
      <t>Henry's Dimensionless Constant (H</t>
    </r>
    <r>
      <rPr>
        <b/>
        <vertAlign val="subscript"/>
        <sz val="10"/>
        <rFont val="Times New Roman"/>
        <family val="1"/>
      </rPr>
      <t>d</t>
    </r>
    <r>
      <rPr>
        <b/>
        <sz val="10"/>
        <rFont val="Times New Roman"/>
        <family val="1"/>
      </rPr>
      <t>)</t>
    </r>
  </si>
  <si>
    <t xml:space="preserve"> [-]</t>
  </si>
  <si>
    <t>Strippablity</t>
  </si>
  <si>
    <r>
      <t>High (H &gt; 0.001 atm-m</t>
    </r>
    <r>
      <rPr>
        <vertAlign val="superscript"/>
        <sz val="10"/>
        <rFont val="Times New Roman"/>
        <family val="1"/>
      </rPr>
      <t>3</t>
    </r>
    <r>
      <rPr>
        <sz val="10"/>
        <rFont val="Times New Roman"/>
        <family val="1"/>
      </rPr>
      <t>/mol)</t>
    </r>
  </si>
  <si>
    <r>
      <t>Very High (H &gt; 0.001 atm-m</t>
    </r>
    <r>
      <rPr>
        <vertAlign val="superscript"/>
        <sz val="10"/>
        <rFont val="Times New Roman"/>
        <family val="1"/>
      </rPr>
      <t>3</t>
    </r>
    <r>
      <rPr>
        <sz val="10"/>
        <rFont val="Times New Roman"/>
        <family val="1"/>
      </rPr>
      <t>/mol)</t>
    </r>
  </si>
  <si>
    <r>
      <t>zero (H &lt; 0.001 atm-m</t>
    </r>
    <r>
      <rPr>
        <vertAlign val="superscript"/>
        <sz val="10"/>
        <rFont val="Times New Roman"/>
        <family val="1"/>
      </rPr>
      <t>3</t>
    </r>
    <r>
      <rPr>
        <sz val="10"/>
        <rFont val="Times New Roman"/>
        <family val="1"/>
      </rPr>
      <t>/mol)</t>
    </r>
  </si>
  <si>
    <r>
      <t>Vapor Pressure (V</t>
    </r>
    <r>
      <rPr>
        <b/>
        <vertAlign val="subscript"/>
        <sz val="10"/>
        <rFont val="Times New Roman"/>
        <family val="1"/>
      </rPr>
      <t>p</t>
    </r>
    <r>
      <rPr>
        <b/>
        <sz val="10"/>
        <rFont val="Times New Roman"/>
        <family val="1"/>
      </rPr>
      <t>)</t>
    </r>
  </si>
  <si>
    <r>
      <t>mm Hg at 25</t>
    </r>
    <r>
      <rPr>
        <b/>
        <sz val="10"/>
        <rFont val="Calibri"/>
        <family val="2"/>
      </rPr>
      <t>°</t>
    </r>
    <r>
      <rPr>
        <b/>
        <sz val="10"/>
        <rFont val="Times New Roman"/>
        <family val="1"/>
      </rPr>
      <t>C</t>
    </r>
  </si>
  <si>
    <t>Volatility</t>
  </si>
  <si>
    <r>
      <t>High (V</t>
    </r>
    <r>
      <rPr>
        <vertAlign val="subscript"/>
        <sz val="10"/>
        <rFont val="Times New Roman"/>
        <family val="1"/>
      </rPr>
      <t xml:space="preserve">p </t>
    </r>
    <r>
      <rPr>
        <sz val="10"/>
        <rFont val="Times New Roman"/>
        <family val="1"/>
      </rPr>
      <t>&gt; 1 mm Hg)</t>
    </r>
  </si>
  <si>
    <r>
      <t>Very High (V</t>
    </r>
    <r>
      <rPr>
        <vertAlign val="subscript"/>
        <sz val="10"/>
        <rFont val="Times New Roman"/>
        <family val="1"/>
      </rPr>
      <t xml:space="preserve">p </t>
    </r>
    <r>
      <rPr>
        <sz val="10"/>
        <rFont val="Times New Roman"/>
        <family val="1"/>
      </rPr>
      <t>&gt; 1 mm Hg)</t>
    </r>
  </si>
  <si>
    <t>Aerobic biodegradability (half life in water)</t>
  </si>
  <si>
    <t>1/day</t>
  </si>
  <si>
    <t>0 to 0.071 (ave 0.00186)</t>
  </si>
  <si>
    <t>0.00082 to 0.040 (ave 0.0016)</t>
  </si>
  <si>
    <t>0.003 to 0.01</t>
  </si>
  <si>
    <t>0 to 0.0582 (ave 0.0041)</t>
  </si>
  <si>
    <r>
      <t>Low (</t>
    </r>
    <r>
      <rPr>
        <sz val="10"/>
        <rFont val="Calibri"/>
        <family val="2"/>
      </rPr>
      <t>~</t>
    </r>
    <r>
      <rPr>
        <sz val="10"/>
        <rFont val="Times New Roman"/>
        <family val="1"/>
      </rPr>
      <t>270 to 550 days)</t>
    </r>
  </si>
  <si>
    <t>**Soil Screening Guidance Technical Background Document EPA/540/R95/128</t>
  </si>
  <si>
    <r>
      <t>g/mL = grams per millileters, mg/mL = milligrams per milliliters, atm-m</t>
    </r>
    <r>
      <rPr>
        <vertAlign val="superscript"/>
        <sz val="10"/>
        <rFont val="Times New Roman"/>
        <family val="1"/>
      </rPr>
      <t>3</t>
    </r>
    <r>
      <rPr>
        <sz val="10"/>
        <rFont val="Times New Roman"/>
        <family val="1"/>
      </rPr>
      <t>/mol = atmosphere*cubic meters per mole,</t>
    </r>
  </si>
  <si>
    <t>mL/g = milliliters per gram, [-] = dimessionless, mm Hg at 25°C = millimeters of Mercury at 25 degrees centigrade.</t>
  </si>
  <si>
    <r>
      <t xml:space="preserve">1. </t>
    </r>
    <r>
      <rPr>
        <sz val="10"/>
        <rFont val="Symbol"/>
        <family val="1"/>
        <charset val="2"/>
      </rPr>
      <t>K</t>
    </r>
    <r>
      <rPr>
        <vertAlign val="subscript"/>
        <sz val="10"/>
        <rFont val="Times New Roman"/>
        <family val="1"/>
      </rPr>
      <t>d</t>
    </r>
    <r>
      <rPr>
        <sz val="10"/>
        <rFont val="Times New Roman"/>
        <family val="1"/>
      </rPr>
      <t xml:space="preserve"> = K</t>
    </r>
    <r>
      <rPr>
        <vertAlign val="subscript"/>
        <sz val="10"/>
        <rFont val="Times New Roman"/>
        <family val="1"/>
      </rPr>
      <t>oc</t>
    </r>
    <r>
      <rPr>
        <sz val="10"/>
        <rFont val="Times New Roman"/>
        <family val="1"/>
      </rPr>
      <t xml:space="preserve"> x f</t>
    </r>
    <r>
      <rPr>
        <vertAlign val="subscript"/>
        <sz val="10"/>
        <rFont val="Times New Roman"/>
        <family val="1"/>
      </rPr>
      <t xml:space="preserve">oc  </t>
    </r>
    <r>
      <rPr>
        <sz val="10"/>
        <rFont val="Times New Roman"/>
        <family val="1"/>
      </rPr>
      <t>(Dominco and Schwartz 1990)</t>
    </r>
  </si>
  <si>
    <r>
      <t>2. R</t>
    </r>
    <r>
      <rPr>
        <vertAlign val="subscript"/>
        <sz val="10"/>
        <rFont val="Times New Roman"/>
        <family val="1"/>
      </rPr>
      <t>f</t>
    </r>
    <r>
      <rPr>
        <sz val="10"/>
        <rFont val="Times New Roman"/>
        <family val="1"/>
      </rPr>
      <t xml:space="preserve"> = 1 + (ρ</t>
    </r>
    <r>
      <rPr>
        <vertAlign val="subscript"/>
        <sz val="10"/>
        <rFont val="Times New Roman"/>
        <family val="1"/>
      </rPr>
      <t>b</t>
    </r>
    <r>
      <rPr>
        <sz val="10"/>
        <rFont val="Times New Roman"/>
        <family val="1"/>
      </rPr>
      <t xml:space="preserve"> x K</t>
    </r>
    <r>
      <rPr>
        <vertAlign val="subscript"/>
        <sz val="10"/>
        <rFont val="Times New Roman"/>
        <family val="1"/>
      </rPr>
      <t>d</t>
    </r>
    <r>
      <rPr>
        <sz val="10"/>
        <rFont val="Times New Roman"/>
        <family val="1"/>
      </rPr>
      <t>/</t>
    </r>
    <r>
      <rPr>
        <sz val="10"/>
        <rFont val="Arial"/>
        <family val="2"/>
      </rPr>
      <t xml:space="preserve">η), </t>
    </r>
    <r>
      <rPr>
        <sz val="10"/>
        <rFont val="Times New Roman"/>
        <family val="1"/>
      </rPr>
      <t xml:space="preserve"> where η = porosity (USGS, 2004)</t>
    </r>
  </si>
  <si>
    <t>CVOC</t>
  </si>
  <si>
    <t>Kd</t>
  </si>
  <si>
    <t>Koc</t>
  </si>
  <si>
    <t>foc</t>
  </si>
  <si>
    <t>rf</t>
  </si>
  <si>
    <t>PCE</t>
  </si>
  <si>
    <t>geomean =</t>
  </si>
  <si>
    <t>TCE</t>
  </si>
  <si>
    <t>average =</t>
  </si>
  <si>
    <t>c1,2DCE</t>
  </si>
  <si>
    <t xml:space="preserve">                PCE</t>
  </si>
  <si>
    <t>Geometric Mean</t>
  </si>
  <si>
    <t>Csat</t>
  </si>
  <si>
    <t>10% Csat</t>
  </si>
  <si>
    <t>Bin</t>
  </si>
  <si>
    <t>More</t>
  </si>
  <si>
    <t>Frequency</t>
  </si>
  <si>
    <t>Cumulative %</t>
  </si>
  <si>
    <t>fOC%</t>
  </si>
  <si>
    <t>015-26.0-28.0</t>
  </si>
  <si>
    <t>015-30.9-32.8</t>
  </si>
  <si>
    <t>015-39.0-41.0</t>
  </si>
  <si>
    <t>015-49.0-51.0</t>
  </si>
  <si>
    <t>015-65.0-67.0</t>
  </si>
  <si>
    <t>104-20.0-22.0</t>
  </si>
  <si>
    <t>104-66.5-68.5</t>
  </si>
  <si>
    <t>104-29.5-31.5</t>
  </si>
  <si>
    <t>104-32.0-34.0</t>
  </si>
  <si>
    <t>104-46.0-48.0</t>
  </si>
  <si>
    <t>low Concentration</t>
  </si>
  <si>
    <t>high Concentration</t>
  </si>
  <si>
    <t>mg/kg</t>
  </si>
  <si>
    <t>g/kg</t>
  </si>
  <si>
    <t>MOBILE DNAPL</t>
  </si>
  <si>
    <r>
      <t>C</t>
    </r>
    <r>
      <rPr>
        <b/>
        <vertAlign val="subscript"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= C</t>
    </r>
    <r>
      <rPr>
        <b/>
        <vertAlign val="superscript"/>
        <sz val="10"/>
        <color rgb="FF000000"/>
        <rFont val="Times New Roman"/>
        <family val="1"/>
      </rPr>
      <t>T</t>
    </r>
    <r>
      <rPr>
        <b/>
        <sz val="10"/>
        <color rgb="FF000000"/>
        <rFont val="Times New Roman"/>
        <family val="1"/>
      </rPr>
      <t xml:space="preserve"> + (S</t>
    </r>
    <r>
      <rPr>
        <b/>
        <vertAlign val="subscript"/>
        <sz val="10"/>
        <color rgb="FF000000"/>
        <rFont val="Times New Roman"/>
        <family val="1"/>
      </rPr>
      <t>r</t>
    </r>
    <r>
      <rPr>
        <b/>
        <sz val="10"/>
        <color rgb="FF000000"/>
        <rFont val="Times New Roman"/>
        <family val="1"/>
      </rPr>
      <t>ϕρ</t>
    </r>
    <r>
      <rPr>
        <b/>
        <vertAlign val="subscript"/>
        <sz val="10"/>
        <color rgb="FF000000"/>
        <rFont val="Times New Roman"/>
        <family val="1"/>
      </rPr>
      <t>N</t>
    </r>
    <r>
      <rPr>
        <b/>
        <sz val="10"/>
        <color rgb="FF000000"/>
        <rFont val="Times New Roman"/>
        <family val="1"/>
      </rPr>
      <t>10</t>
    </r>
    <r>
      <rPr>
        <b/>
        <vertAlign val="superscript"/>
        <sz val="10"/>
        <color rgb="FF000000"/>
        <rFont val="Times New Roman"/>
        <family val="1"/>
      </rPr>
      <t>6</t>
    </r>
    <r>
      <rPr>
        <b/>
        <sz val="10"/>
        <color rgb="FF000000"/>
        <rFont val="Times New Roman"/>
        <family val="1"/>
      </rPr>
      <t>/ρ</t>
    </r>
    <r>
      <rPr>
        <b/>
        <vertAlign val="subscript"/>
        <sz val="10"/>
        <color rgb="FF000000"/>
        <rFont val="Times New Roman"/>
        <family val="1"/>
      </rPr>
      <t>b</t>
    </r>
    <r>
      <rPr>
        <b/>
        <sz val="10"/>
        <color rgb="FF000000"/>
        <rFont val="Times New Roman"/>
        <family val="1"/>
      </rPr>
      <t>)</t>
    </r>
  </si>
  <si>
    <t xml:space="preserve">DNAPL Saturation &amp; mobile/residual  </t>
  </si>
  <si>
    <t xml:space="preserve">viscosity </t>
  </si>
  <si>
    <t>cp</t>
  </si>
  <si>
    <t>wettablity Contact angle (ϕ)</t>
  </si>
  <si>
    <r>
      <t>interfacial tension (</t>
    </r>
    <r>
      <rPr>
        <sz val="10"/>
        <color rgb="FF000000"/>
        <rFont val="Times New Roman"/>
        <family val="1"/>
      </rPr>
      <t>σ)</t>
    </r>
  </si>
  <si>
    <t xml:space="preserve">radius of  water-filled pore (r) </t>
  </si>
  <si>
    <t>mean diameter</t>
  </si>
  <si>
    <t>threhold Entry pressure</t>
  </si>
  <si>
    <t>North</t>
  </si>
  <si>
    <t>East</t>
  </si>
  <si>
    <t>Depth</t>
  </si>
  <si>
    <t>TOC</t>
  </si>
  <si>
    <t>ert10</t>
  </si>
  <si>
    <t>ERT48</t>
  </si>
  <si>
    <t>ERt11</t>
  </si>
  <si>
    <t>ert47</t>
  </si>
  <si>
    <t xml:space="preserve">hydraulic conductivity </t>
  </si>
  <si>
    <t>ft/day</t>
  </si>
  <si>
    <t xml:space="preserve">PCE density </t>
  </si>
  <si>
    <t xml:space="preserve">porosity </t>
  </si>
  <si>
    <r>
      <t xml:space="preserve">k = </t>
    </r>
    <r>
      <rPr>
        <sz val="10"/>
        <color rgb="FF000000"/>
        <rFont val="Calibri"/>
        <family val="2"/>
      </rPr>
      <t>Kμ/gρ</t>
    </r>
  </si>
  <si>
    <t>dynes/cm</t>
  </si>
  <si>
    <t>N/m</t>
  </si>
  <si>
    <t>kg/s2</t>
  </si>
  <si>
    <t>m/day</t>
  </si>
  <si>
    <r>
      <t>C</t>
    </r>
    <r>
      <rPr>
        <b/>
        <vertAlign val="superscript"/>
        <sz val="10"/>
        <color rgb="FF000000"/>
        <rFont val="Times New Roman"/>
        <family val="1"/>
      </rPr>
      <t>T</t>
    </r>
    <r>
      <rPr>
        <b/>
        <vertAlign val="subscript"/>
        <sz val="10"/>
        <color rgb="FF000000"/>
        <rFont val="Times New Roman"/>
        <family val="1"/>
      </rPr>
      <t>i</t>
    </r>
    <r>
      <rPr>
        <b/>
        <sz val="10"/>
        <color rgb="FF000000"/>
        <rFont val="Times New Roman"/>
        <family val="1"/>
      </rPr>
      <t xml:space="preserve"> = C</t>
    </r>
    <r>
      <rPr>
        <b/>
        <vertAlign val="subscript"/>
        <sz val="10"/>
        <color rgb="FF000000"/>
        <rFont val="Times New Roman"/>
        <family val="1"/>
      </rPr>
      <t>i</t>
    </r>
    <r>
      <rPr>
        <b/>
        <sz val="10"/>
        <color rgb="FF000000"/>
        <rFont val="Times New Roman"/>
        <family val="1"/>
      </rPr>
      <t>/ρ</t>
    </r>
    <r>
      <rPr>
        <b/>
        <vertAlign val="subscript"/>
        <sz val="10"/>
        <color rgb="FF000000"/>
        <rFont val="Times New Roman"/>
        <family val="1"/>
      </rPr>
      <t>b</t>
    </r>
    <r>
      <rPr>
        <b/>
        <sz val="10"/>
        <color rgb="FF000000"/>
        <rFont val="Times New Roman"/>
        <family val="1"/>
      </rPr>
      <t>(kdρ</t>
    </r>
    <r>
      <rPr>
        <b/>
        <vertAlign val="subscript"/>
        <sz val="10"/>
        <color rgb="FF000000"/>
        <rFont val="Times New Roman"/>
        <family val="1"/>
      </rPr>
      <t>b</t>
    </r>
    <r>
      <rPr>
        <b/>
        <sz val="10"/>
        <color rgb="FF000000"/>
        <rFont val="Times New Roman"/>
        <family val="1"/>
      </rPr>
      <t>)</t>
    </r>
  </si>
  <si>
    <t>Porefluids</t>
  </si>
  <si>
    <t xml:space="preserve">Assume </t>
  </si>
  <si>
    <t>porosity</t>
  </si>
  <si>
    <t>bulk densit</t>
  </si>
  <si>
    <t>Solubility</t>
  </si>
  <si>
    <t>koc</t>
  </si>
  <si>
    <t>DNAPL (Sr =0.5 to 0.0)</t>
  </si>
  <si>
    <t>groundwater</t>
  </si>
  <si>
    <r>
      <t>C</t>
    </r>
    <r>
      <rPr>
        <vertAlign val="subscript"/>
        <sz val="10"/>
        <color rgb="FF000000"/>
        <rFont val="Times New Roman"/>
        <family val="1"/>
      </rPr>
      <t>D</t>
    </r>
    <r>
      <rPr>
        <sz val="10"/>
        <color rgb="FF000000"/>
        <rFont val="Times New Roman"/>
        <family val="1"/>
      </rPr>
      <t xml:space="preserve"> = C</t>
    </r>
    <r>
      <rPr>
        <vertAlign val="superscript"/>
        <sz val="10"/>
        <color rgb="FF000000"/>
        <rFont val="Times New Roman"/>
        <family val="1"/>
      </rPr>
      <t>T</t>
    </r>
    <r>
      <rPr>
        <sz val="10"/>
        <color rgb="FF000000"/>
        <rFont val="Times New Roman"/>
        <family val="1"/>
      </rPr>
      <t xml:space="preserve"> + (S</t>
    </r>
    <r>
      <rPr>
        <vertAlign val="subscript"/>
        <sz val="10"/>
        <color rgb="FF000000"/>
        <rFont val="Times New Roman"/>
        <family val="1"/>
      </rPr>
      <t>r</t>
    </r>
    <r>
      <rPr>
        <sz val="10"/>
        <color rgb="FF000000"/>
        <rFont val="Times New Roman"/>
        <family val="1"/>
      </rPr>
      <t>ϕρ</t>
    </r>
    <r>
      <rPr>
        <vertAlign val="subscript"/>
        <sz val="10"/>
        <color rgb="FF000000"/>
        <rFont val="Times New Roman"/>
        <family val="1"/>
      </rPr>
      <t>N</t>
    </r>
    <r>
      <rPr>
        <sz val="10"/>
        <color rgb="FF000000"/>
        <rFont val="Times New Roman"/>
        <family val="1"/>
      </rPr>
      <t>10</t>
    </r>
    <r>
      <rPr>
        <vertAlign val="superscript"/>
        <sz val="10"/>
        <color rgb="FF000000"/>
        <rFont val="Times New Roman"/>
        <family val="1"/>
      </rPr>
      <t>6</t>
    </r>
    <r>
      <rPr>
        <sz val="10"/>
        <color rgb="FF000000"/>
        <rFont val="Times New Roman"/>
        <family val="1"/>
      </rPr>
      <t>/ρ</t>
    </r>
    <r>
      <rPr>
        <vertAlign val="subscript"/>
        <sz val="10"/>
        <color rgb="FF000000"/>
        <rFont val="Times New Roman"/>
        <family val="1"/>
      </rPr>
      <t>b</t>
    </r>
    <r>
      <rPr>
        <sz val="10"/>
        <color rgb="FF000000"/>
        <rFont val="Times New Roman"/>
        <family val="1"/>
      </rPr>
      <t>)</t>
    </r>
  </si>
  <si>
    <t>NAPL density</t>
  </si>
  <si>
    <t>kd</t>
  </si>
  <si>
    <r>
      <t>C</t>
    </r>
    <r>
      <rPr>
        <vertAlign val="subscript"/>
        <sz val="10"/>
        <color rgb="FF000000"/>
        <rFont val="Times New Roman"/>
        <family val="1"/>
      </rPr>
      <t>w</t>
    </r>
    <r>
      <rPr>
        <sz val="10"/>
        <color rgb="FF000000"/>
        <rFont val="Times New Roman"/>
        <family val="1"/>
      </rPr>
      <t xml:space="preserve"> = (C</t>
    </r>
    <r>
      <rPr>
        <vertAlign val="superscript"/>
        <sz val="10"/>
        <color rgb="FF000000"/>
        <rFont val="Times New Roman"/>
        <family val="1"/>
      </rPr>
      <t>T</t>
    </r>
    <r>
      <rPr>
        <sz val="10"/>
        <color rgb="FF000000"/>
        <rFont val="Times New Roman"/>
        <family val="1"/>
      </rPr>
      <t>*</t>
    </r>
    <r>
      <rPr>
        <sz val="10"/>
        <color rgb="FF000000"/>
        <rFont val="Calibri"/>
        <family val="2"/>
      </rPr>
      <t>ρ</t>
    </r>
    <r>
      <rPr>
        <vertAlign val="subscript"/>
        <sz val="10"/>
        <color rgb="FF000000"/>
        <rFont val="Times New Roman"/>
        <family val="1"/>
      </rPr>
      <t>b</t>
    </r>
    <r>
      <rPr>
        <sz val="10"/>
        <color rgb="FF000000"/>
        <rFont val="Times New Roman"/>
        <family val="1"/>
      </rPr>
      <t>)/(kd*</t>
    </r>
    <r>
      <rPr>
        <sz val="10"/>
        <color rgb="FF000000"/>
        <rFont val="Calibri"/>
        <family val="2"/>
      </rPr>
      <t>ρ</t>
    </r>
    <r>
      <rPr>
        <vertAlign val="subscript"/>
        <sz val="10"/>
        <color rgb="FF000000"/>
        <rFont val="Times New Roman"/>
        <family val="1"/>
      </rPr>
      <t>b</t>
    </r>
    <r>
      <rPr>
        <sz val="10"/>
        <color rgb="FF000000"/>
        <rFont val="Times New Roman"/>
        <family val="1"/>
      </rPr>
      <t>+θ)</t>
    </r>
  </si>
  <si>
    <t>Groundwater</t>
  </si>
  <si>
    <r>
      <t>C</t>
    </r>
    <r>
      <rPr>
        <b/>
        <vertAlign val="superscript"/>
        <sz val="10"/>
        <color rgb="FF000000"/>
        <rFont val="Times New Roman"/>
        <family val="1"/>
      </rPr>
      <t>T</t>
    </r>
    <r>
      <rPr>
        <b/>
        <vertAlign val="subscript"/>
        <sz val="10"/>
        <color rgb="FF000000"/>
        <rFont val="Times New Roman"/>
        <family val="1"/>
      </rPr>
      <t>i</t>
    </r>
    <r>
      <rPr>
        <b/>
        <sz val="10"/>
        <color rgb="FF000000"/>
        <rFont val="Times New Roman"/>
        <family val="1"/>
      </rPr>
      <t xml:space="preserve"> = θC</t>
    </r>
    <r>
      <rPr>
        <b/>
        <vertAlign val="subscript"/>
        <sz val="10"/>
        <color rgb="FF000000"/>
        <rFont val="Times New Roman"/>
        <family val="1"/>
      </rPr>
      <t>i</t>
    </r>
    <r>
      <rPr>
        <b/>
        <sz val="10"/>
        <color rgb="FF000000"/>
        <rFont val="Times New Roman"/>
        <family val="1"/>
      </rPr>
      <t>/ρ</t>
    </r>
    <r>
      <rPr>
        <b/>
        <vertAlign val="subscript"/>
        <sz val="10"/>
        <color rgb="FF000000"/>
        <rFont val="Times New Roman"/>
        <family val="1"/>
      </rPr>
      <t>b</t>
    </r>
  </si>
  <si>
    <t>CTi = θCi/ρb</t>
  </si>
  <si>
    <r>
      <t>C</t>
    </r>
    <r>
      <rPr>
        <vertAlign val="superscript"/>
        <sz val="10"/>
        <color rgb="FF000000"/>
        <rFont val="Times New Roman"/>
        <family val="1"/>
      </rPr>
      <t>T</t>
    </r>
    <r>
      <rPr>
        <vertAlign val="subscript"/>
        <sz val="10"/>
        <color rgb="FF000000"/>
        <rFont val="Times New Roman"/>
        <family val="1"/>
      </rPr>
      <t>i</t>
    </r>
    <r>
      <rPr>
        <sz val="10"/>
        <color rgb="FF000000"/>
        <rFont val="Times New Roman"/>
        <family val="1"/>
      </rPr>
      <t xml:space="preserve"> = C</t>
    </r>
    <r>
      <rPr>
        <vertAlign val="subscript"/>
        <sz val="10"/>
        <color rgb="FF000000"/>
        <rFont val="Times New Roman"/>
        <family val="1"/>
      </rPr>
      <t>i</t>
    </r>
    <r>
      <rPr>
        <sz val="10"/>
        <color rgb="FF000000"/>
        <rFont val="Times New Roman"/>
        <family val="1"/>
      </rPr>
      <t>/ρ</t>
    </r>
    <r>
      <rPr>
        <vertAlign val="subscript"/>
        <sz val="10"/>
        <color rgb="FF000000"/>
        <rFont val="Times New Roman"/>
        <family val="1"/>
      </rPr>
      <t>b</t>
    </r>
    <r>
      <rPr>
        <sz val="10"/>
        <color rgb="FF000000"/>
        <rFont val="Times New Roman"/>
        <family val="1"/>
      </rPr>
      <t>(kdρ</t>
    </r>
    <r>
      <rPr>
        <vertAlign val="subscript"/>
        <sz val="10"/>
        <color rgb="FF000000"/>
        <rFont val="Times New Roman"/>
        <family val="1"/>
      </rPr>
      <t>b</t>
    </r>
    <r>
      <rPr>
        <sz val="10"/>
        <color rgb="FF000000"/>
        <rFont val="Times New Roman"/>
        <family val="1"/>
      </rPr>
      <t>)</t>
    </r>
  </si>
  <si>
    <r>
      <t>Z</t>
    </r>
    <r>
      <rPr>
        <vertAlign val="subscript"/>
        <sz val="10"/>
        <color rgb="FF000000"/>
        <rFont val="Times New Roman"/>
        <family val="1"/>
      </rPr>
      <t>n</t>
    </r>
    <r>
      <rPr>
        <sz val="10"/>
        <color rgb="FF000000"/>
        <rFont val="Times New Roman"/>
        <family val="1"/>
      </rPr>
      <t xml:space="preserve">  = criticle thickness</t>
    </r>
  </si>
  <si>
    <r>
      <t>z</t>
    </r>
    <r>
      <rPr>
        <vertAlign val="subscript"/>
        <sz val="10"/>
        <color rgb="FF000000"/>
        <rFont val="Times New Roman"/>
        <family val="1"/>
      </rPr>
      <t>n</t>
    </r>
    <r>
      <rPr>
        <sz val="10"/>
        <color rgb="FF000000"/>
        <rFont val="Times New Roman"/>
        <family val="1"/>
      </rPr>
      <t xml:space="preserve"> = (2σcosϕ)/[rg(</t>
    </r>
    <r>
      <rPr>
        <sz val="10"/>
        <color rgb="FF000000"/>
        <rFont val="Calibri"/>
        <family val="2"/>
      </rPr>
      <t>ρ</t>
    </r>
    <r>
      <rPr>
        <vertAlign val="subscript"/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-ρ</t>
    </r>
    <r>
      <rPr>
        <vertAlign val="subscript"/>
        <sz val="10"/>
        <color rgb="FF000000"/>
        <rFont val="Calibri"/>
        <family val="2"/>
      </rPr>
      <t>w</t>
    </r>
    <r>
      <rPr>
        <sz val="10"/>
        <color rgb="FF000000"/>
        <rFont val="Times New Roman"/>
        <family val="1"/>
      </rPr>
      <t>)]</t>
    </r>
  </si>
  <si>
    <r>
      <t>L</t>
    </r>
    <r>
      <rPr>
        <vertAlign val="subscript"/>
        <sz val="10"/>
        <color rgb="FF000000"/>
        <rFont val="Times New Roman"/>
        <family val="1"/>
      </rPr>
      <t>n</t>
    </r>
    <r>
      <rPr>
        <sz val="10"/>
        <color rgb="FF000000"/>
        <rFont val="Times New Roman"/>
        <family val="1"/>
      </rPr>
      <t xml:space="preserve"> = (2σcosϕ)/[rg(ρ</t>
    </r>
    <r>
      <rPr>
        <vertAlign val="subscript"/>
        <sz val="10"/>
        <color rgb="FF000000"/>
        <rFont val="Times New Roman"/>
        <family val="1"/>
      </rPr>
      <t>n</t>
    </r>
    <r>
      <rPr>
        <sz val="10"/>
        <color rgb="FF000000"/>
        <rFont val="Times New Roman"/>
        <family val="1"/>
      </rPr>
      <t>-ρ</t>
    </r>
    <r>
      <rPr>
        <vertAlign val="subscript"/>
        <sz val="10"/>
        <color rgb="FF000000"/>
        <rFont val="Times New Roman"/>
        <family val="1"/>
      </rPr>
      <t>w</t>
    </r>
    <r>
      <rPr>
        <sz val="10"/>
        <color rgb="FF000000"/>
        <rFont val="Times New Roman"/>
        <family val="1"/>
      </rPr>
      <t>)sinθ]</t>
    </r>
  </si>
  <si>
    <r>
      <t>L</t>
    </r>
    <r>
      <rPr>
        <vertAlign val="subscript"/>
        <sz val="10"/>
        <color rgb="FF000000"/>
        <rFont val="Times New Roman"/>
        <family val="1"/>
      </rPr>
      <t>n</t>
    </r>
    <r>
      <rPr>
        <sz val="10"/>
        <color rgb="FF000000"/>
        <rFont val="Times New Roman"/>
        <family val="1"/>
      </rPr>
      <t>sinθ = z</t>
    </r>
    <r>
      <rPr>
        <vertAlign val="subscript"/>
        <sz val="10"/>
        <color rgb="FF000000"/>
        <rFont val="Times New Roman"/>
        <family val="1"/>
      </rPr>
      <t>n</t>
    </r>
  </si>
  <si>
    <t>pore radius r = d/8   (Hubbert 1953)</t>
  </si>
  <si>
    <r>
      <t>pore radius r = (k/n)</t>
    </r>
    <r>
      <rPr>
        <vertAlign val="superscript"/>
        <sz val="10"/>
        <color rgb="FF000000"/>
        <rFont val="Times New Roman"/>
        <family val="1"/>
      </rPr>
      <t xml:space="preserve">0.5  </t>
    </r>
    <r>
      <rPr>
        <sz val="10"/>
        <color rgb="FF000000"/>
        <rFont val="Times New Roman"/>
        <family val="1"/>
      </rPr>
      <t xml:space="preserve"> (Leverett 1941)</t>
    </r>
  </si>
  <si>
    <r>
      <t>gravity g = 10 m/s</t>
    </r>
    <r>
      <rPr>
        <vertAlign val="superscript"/>
        <sz val="10"/>
        <color rgb="FF000000"/>
        <rFont val="Times New Roman"/>
        <family val="1"/>
      </rPr>
      <t>2</t>
    </r>
  </si>
  <si>
    <r>
      <t>m/s</t>
    </r>
    <r>
      <rPr>
        <vertAlign val="superscript"/>
        <sz val="10"/>
        <color rgb="FF000000"/>
        <rFont val="Times New Roman"/>
        <family val="1"/>
      </rPr>
      <t>2</t>
    </r>
  </si>
  <si>
    <t>m</t>
  </si>
  <si>
    <r>
      <t>d</t>
    </r>
    <r>
      <rPr>
        <vertAlign val="subscript"/>
        <sz val="10"/>
        <color rgb="FF000000"/>
        <rFont val="Times New Roman"/>
        <family val="1"/>
      </rPr>
      <t>50</t>
    </r>
    <r>
      <rPr>
        <sz val="10"/>
        <color rgb="FF000000"/>
        <rFont val="Times New Roman"/>
        <family val="1"/>
      </rPr>
      <t xml:space="preserve"> =</t>
    </r>
    <r>
      <rPr>
        <vertAlign val="subscript"/>
        <sz val="10"/>
        <color rgb="FF000000"/>
        <rFont val="Times New Roman"/>
        <family val="1"/>
      </rPr>
      <t xml:space="preserve"> </t>
    </r>
  </si>
  <si>
    <t>App H</t>
  </si>
  <si>
    <t>0.01p = 0.001kg/ms</t>
  </si>
  <si>
    <t>kg/ms</t>
  </si>
  <si>
    <t xml:space="preserve">Hydrualic Conductivity </t>
  </si>
  <si>
    <t>cm/s</t>
  </si>
  <si>
    <t>m/s</t>
  </si>
  <si>
    <t>mm</t>
  </si>
  <si>
    <t>Theta Dip Angle 20-ft Clay</t>
  </si>
  <si>
    <t>ERT-54</t>
  </si>
  <si>
    <t>ERT-46</t>
  </si>
  <si>
    <t>ele</t>
  </si>
  <si>
    <t>ih</t>
  </si>
  <si>
    <t>north</t>
  </si>
  <si>
    <t>east</t>
  </si>
  <si>
    <t>dept</t>
  </si>
  <si>
    <t xml:space="preserve"> PCE (ug/kg)</t>
  </si>
  <si>
    <t>ERT-6</t>
  </si>
  <si>
    <t>ERT-47</t>
  </si>
  <si>
    <t>ERT-48</t>
  </si>
  <si>
    <t>Distance</t>
  </si>
  <si>
    <t>ERT-55</t>
  </si>
  <si>
    <t>ERT-40</t>
  </si>
  <si>
    <t>VPN-13</t>
  </si>
  <si>
    <t>degrees</t>
  </si>
  <si>
    <t>θ =</t>
  </si>
  <si>
    <t>m  or</t>
  </si>
  <si>
    <t>feet</t>
  </si>
  <si>
    <t xml:space="preserve">m or </t>
  </si>
  <si>
    <t>soil (mg/kg)</t>
  </si>
  <si>
    <t>Grams/kg</t>
  </si>
  <si>
    <t>1% DNAPL Saturation</t>
  </si>
  <si>
    <t>10% DNAPL Saturation</t>
  </si>
  <si>
    <t>Maximum Extent of Mobile DNAPL</t>
  </si>
  <si>
    <t>1% Csat</t>
  </si>
  <si>
    <t>EPA Rule of Thumb</t>
  </si>
  <si>
    <t>Maximum Extent of  Residual DNAPL</t>
  </si>
  <si>
    <t>PDI</t>
  </si>
  <si>
    <t>RIR</t>
  </si>
  <si>
    <t>PB-610</t>
  </si>
  <si>
    <t>PB-611</t>
  </si>
  <si>
    <t>PB-612</t>
  </si>
  <si>
    <t>PB-613</t>
  </si>
  <si>
    <t>PB-614</t>
  </si>
  <si>
    <t>PB-615</t>
  </si>
  <si>
    <t>PB-616</t>
  </si>
  <si>
    <t>PB-617</t>
  </si>
  <si>
    <t>PB-618</t>
  </si>
  <si>
    <t>PB-619</t>
  </si>
  <si>
    <t>PB-620</t>
  </si>
  <si>
    <t>PB-621</t>
  </si>
  <si>
    <t>PB-622</t>
  </si>
  <si>
    <t>PB-623</t>
  </si>
  <si>
    <t>PB-624</t>
  </si>
  <si>
    <t>PB-625</t>
  </si>
  <si>
    <t>PB-626</t>
  </si>
  <si>
    <t>PB-627</t>
  </si>
  <si>
    <t>PB-628</t>
  </si>
  <si>
    <t>PB-629</t>
  </si>
  <si>
    <t>PB-630</t>
  </si>
  <si>
    <t>PB-631</t>
  </si>
  <si>
    <t>PB-632</t>
  </si>
  <si>
    <t>PB-633</t>
  </si>
  <si>
    <t>PB-634</t>
  </si>
  <si>
    <t>PB-635</t>
  </si>
  <si>
    <t>PB-636</t>
  </si>
  <si>
    <t>PB-637</t>
  </si>
  <si>
    <t>PB-638</t>
  </si>
  <si>
    <t>PB-639</t>
  </si>
  <si>
    <t>PB-640</t>
  </si>
  <si>
    <t>PB-641</t>
  </si>
  <si>
    <t>PB-642</t>
  </si>
  <si>
    <t>PB-643</t>
  </si>
  <si>
    <t>PB-644</t>
  </si>
  <si>
    <t>PB-645</t>
  </si>
  <si>
    <t>PB-646</t>
  </si>
  <si>
    <t>PB-647</t>
  </si>
  <si>
    <t>PB-648</t>
  </si>
  <si>
    <t>maximum</t>
  </si>
  <si>
    <t>min</t>
  </si>
  <si>
    <t>Rf</t>
  </si>
  <si>
    <t>Maximum sorbed and dissolved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</si>
</sst>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/d/yyyy;@"/>
    <numFmt numFmtId="165" formatCode="0.0"/>
    <numFmt numFmtId="166" formatCode="0.0000"/>
    <numFmt numFmtId="167" formatCode="0.000"/>
    <numFmt numFmtId="168" formatCode="0.00000000"/>
    <numFmt numFmtId="169" formatCode="0.000000"/>
    <numFmt numFmtId="170" formatCode="0.0000000"/>
  </numFmts>
  <fonts count="35" x14ac:knownFonts="1">
    <font>
      <sz val="10"/>
      <color rgb="FF000000"/>
      <name val="Times New Roman"/>
      <charset val="204"/>
    </font>
    <font>
      <sz val="10"/>
      <name val="Arial"/>
      <family val="2"/>
    </font>
    <font>
      <sz val="10"/>
      <color rgb="FF1D1D1D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  <font>
      <b/>
      <sz val="10"/>
      <name val="Arial"/>
      <family val="2"/>
    </font>
    <font>
      <b/>
      <sz val="9"/>
      <color rgb="FF1D1D1D"/>
      <name val="Arial"/>
      <family val="2"/>
    </font>
    <font>
      <sz val="9"/>
      <color rgb="FF1D1D1D"/>
      <name val="Arial"/>
      <family val="2"/>
    </font>
    <font>
      <sz val="9"/>
      <color rgb="FF1D1D1D"/>
      <name val="Calibri"/>
      <family val="2"/>
    </font>
    <font>
      <sz val="10"/>
      <name val="Tahoma"/>
      <family val="2"/>
    </font>
    <font>
      <b/>
      <sz val="10"/>
      <name val="Tahoma"/>
      <family val="2"/>
    </font>
    <font>
      <b/>
      <sz val="10"/>
      <color rgb="FF00000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vertAlign val="subscript"/>
      <sz val="10"/>
      <name val="Times New Roman"/>
      <family val="1"/>
    </font>
    <font>
      <b/>
      <sz val="10"/>
      <name val="Calibri"/>
      <family val="2"/>
    </font>
    <font>
      <b/>
      <vertAlign val="subscript"/>
      <sz val="10"/>
      <name val="Times New Roman"/>
      <family val="1"/>
    </font>
    <font>
      <b/>
      <vertAlign val="superscript"/>
      <sz val="10"/>
      <name val="Times New Roman"/>
      <family val="1"/>
    </font>
    <font>
      <vertAlign val="superscript"/>
      <sz val="10"/>
      <name val="Times New Roman"/>
      <family val="1"/>
    </font>
    <font>
      <sz val="10"/>
      <name val="Calibri"/>
      <family val="2"/>
    </font>
    <font>
      <sz val="10"/>
      <name val="Symbol"/>
      <family val="1"/>
      <charset val="2"/>
    </font>
    <font>
      <sz val="10"/>
      <color rgb="FF000000"/>
      <name val="Times New Roman"/>
      <family val="1"/>
    </font>
    <font>
      <i/>
      <sz val="10"/>
      <color rgb="FF000000"/>
      <name val="Times New Roman"/>
      <family val="1"/>
    </font>
    <font>
      <b/>
      <vertAlign val="superscript"/>
      <sz val="10"/>
      <color rgb="FF000000"/>
      <name val="Times New Roman"/>
      <family val="1"/>
    </font>
    <font>
      <b/>
      <vertAlign val="subscript"/>
      <sz val="10"/>
      <color rgb="FF000000"/>
      <name val="Times New Roman"/>
      <family val="1"/>
    </font>
    <font>
      <sz val="10"/>
      <color rgb="FF000000"/>
      <name val="Calibri"/>
      <family val="2"/>
    </font>
    <font>
      <vertAlign val="subscript"/>
      <sz val="10"/>
      <color rgb="FF000000"/>
      <name val="Times New Roman"/>
      <family val="1"/>
    </font>
    <font>
      <vertAlign val="subscript"/>
      <sz val="10"/>
      <color rgb="FF000000"/>
      <name val="Calibri"/>
      <family val="2"/>
    </font>
    <font>
      <vertAlign val="superscript"/>
      <sz val="10"/>
      <color rgb="FF000000"/>
      <name val="Times New Roman"/>
      <family val="1"/>
    </font>
    <font>
      <sz val="8"/>
      <name val="Times New Roman"/>
      <family val="1"/>
    </font>
    <font>
      <sz val="6"/>
      <color indexed="8"/>
      <name val="Arial"/>
      <family val="2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  <font>
      <sz val="10"/>
      <color indexed="8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A6A6A6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41">
    <border>
      <left/>
      <right/>
      <top/>
      <bottom/>
      <diagonal/>
    </border>
    <border>
      <left/>
      <right style="thin">
        <color rgb="FF1D1D1D"/>
      </right>
      <top style="thin">
        <color rgb="FF000000"/>
      </top>
      <bottom style="thin">
        <color rgb="FF000000"/>
      </bottom>
      <diagonal/>
    </border>
    <border>
      <left style="thin">
        <color rgb="FF1D1D1D"/>
      </left>
      <right style="thin">
        <color rgb="FF1D1D1D"/>
      </right>
      <top style="thin">
        <color rgb="FF1D1D1D"/>
      </top>
      <bottom style="thin">
        <color rgb="FF1D1D1D"/>
      </bottom>
      <diagonal/>
    </border>
    <border>
      <left style="thin">
        <color rgb="FF1D1D1D"/>
      </left>
      <right/>
      <top style="thin">
        <color rgb="FF1D1D1D"/>
      </top>
      <bottom style="thin">
        <color rgb="FF1D1D1D"/>
      </bottom>
      <diagonal/>
    </border>
    <border>
      <left/>
      <right/>
      <top style="thin">
        <color rgb="FF1D1D1D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ck">
        <color theme="9" tint="-0.24994659260841701"/>
      </left>
      <right style="medium">
        <color theme="9" tint="-0.24994659260841701"/>
      </right>
      <top style="thick">
        <color theme="9" tint="-0.24994659260841701"/>
      </top>
      <bottom style="medium">
        <color theme="9" tint="-0.24994659260841701"/>
      </bottom>
      <diagonal/>
    </border>
    <border>
      <left style="medium">
        <color theme="9" tint="-0.24994659260841701"/>
      </left>
      <right style="medium">
        <color theme="9" tint="-0.24994659260841701"/>
      </right>
      <top style="thick">
        <color theme="9" tint="-0.24994659260841701"/>
      </top>
      <bottom style="medium">
        <color theme="9" tint="-0.24994659260841701"/>
      </bottom>
      <diagonal/>
    </border>
    <border>
      <left style="medium">
        <color theme="9" tint="-0.24994659260841701"/>
      </left>
      <right style="thick">
        <color theme="9" tint="-0.24994659260841701"/>
      </right>
      <top style="thick">
        <color theme="9" tint="-0.24994659260841701"/>
      </top>
      <bottom style="medium">
        <color theme="9" tint="-0.24994659260841701"/>
      </bottom>
      <diagonal/>
    </border>
    <border>
      <left style="thick">
        <color theme="9" tint="-0.24994659260841701"/>
      </left>
      <right style="medium">
        <color theme="9" tint="-0.24994659260841701"/>
      </right>
      <top style="medium">
        <color theme="9" tint="-0.24994659260841701"/>
      </top>
      <bottom style="medium">
        <color theme="9" tint="-0.24994659260841701"/>
      </bottom>
      <diagonal/>
    </border>
    <border>
      <left style="medium">
        <color theme="9" tint="-0.24994659260841701"/>
      </left>
      <right style="medium">
        <color theme="9" tint="-0.24994659260841701"/>
      </right>
      <top style="medium">
        <color theme="9" tint="-0.24994659260841701"/>
      </top>
      <bottom style="medium">
        <color theme="9" tint="-0.24994659260841701"/>
      </bottom>
      <diagonal/>
    </border>
    <border>
      <left style="medium">
        <color theme="9" tint="-0.24994659260841701"/>
      </left>
      <right style="thick">
        <color theme="9" tint="-0.24994659260841701"/>
      </right>
      <top style="medium">
        <color theme="9" tint="-0.24994659260841701"/>
      </top>
      <bottom style="medium">
        <color theme="9" tint="-0.24994659260841701"/>
      </bottom>
      <diagonal/>
    </border>
    <border>
      <left style="thick">
        <color theme="9" tint="-0.24994659260841701"/>
      </left>
      <right style="medium">
        <color theme="9" tint="-0.24994659260841701"/>
      </right>
      <top style="medium">
        <color theme="9" tint="-0.24994659260841701"/>
      </top>
      <bottom style="thick">
        <color theme="9" tint="-0.24994659260841701"/>
      </bottom>
      <diagonal/>
    </border>
    <border>
      <left style="medium">
        <color theme="9" tint="-0.24994659260841701"/>
      </left>
      <right style="medium">
        <color theme="9" tint="-0.24994659260841701"/>
      </right>
      <top style="medium">
        <color theme="9" tint="-0.24994659260841701"/>
      </top>
      <bottom style="thick">
        <color theme="9" tint="-0.24994659260841701"/>
      </bottom>
      <diagonal/>
    </border>
    <border>
      <left style="medium">
        <color theme="9" tint="-0.24994659260841701"/>
      </left>
      <right style="thick">
        <color theme="9" tint="-0.24994659260841701"/>
      </right>
      <top style="medium">
        <color theme="9" tint="-0.24994659260841701"/>
      </top>
      <bottom style="thick">
        <color theme="9" tint="-0.24994659260841701"/>
      </bottom>
      <diagonal/>
    </border>
    <border>
      <left style="medium">
        <color theme="9" tint="-0.24994659260841701"/>
      </left>
      <right/>
      <top style="thick">
        <color theme="9" tint="-0.24994659260841701"/>
      </top>
      <bottom style="medium">
        <color theme="9" tint="-0.24994659260841701"/>
      </bottom>
      <diagonal/>
    </border>
    <border>
      <left/>
      <right style="medium">
        <color theme="9" tint="-0.24994659260841701"/>
      </right>
      <top style="thick">
        <color theme="9" tint="-0.24994659260841701"/>
      </top>
      <bottom style="medium">
        <color theme="9" tint="-0.24994659260841701"/>
      </bottom>
      <diagonal/>
    </border>
  </borders>
  <cellStyleXfs count="1">
    <xf numFmtId="0" fontId="0" fillId="0" borderId="0"/>
  </cellStyleXfs>
  <cellXfs count="187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righ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0" fillId="0" borderId="0" xfId="0" applyAlignment="1">
      <alignment horizontal="left" wrapText="1"/>
    </xf>
    <xf numFmtId="164" fontId="2" fillId="0" borderId="2" xfId="0" applyNumberFormat="1" applyFont="1" applyBorder="1" applyAlignment="1">
      <alignment horizontal="center" vertical="top" shrinkToFit="1"/>
    </xf>
    <xf numFmtId="164" fontId="2" fillId="0" borderId="3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4" fillId="0" borderId="5" xfId="0" applyFont="1" applyBorder="1" applyAlignment="1">
      <alignment horizontal="right" vertical="top" wrapText="1"/>
    </xf>
    <xf numFmtId="1" fontId="5" fillId="0" borderId="6" xfId="0" applyNumberFormat="1" applyFont="1" applyBorder="1" applyAlignment="1">
      <alignment horizontal="center" vertical="top" shrinkToFit="1"/>
    </xf>
    <xf numFmtId="165" fontId="5" fillId="0" borderId="6" xfId="0" applyNumberFormat="1" applyFont="1" applyBorder="1" applyAlignment="1">
      <alignment horizontal="center" vertical="top" shrinkToFit="1"/>
    </xf>
    <xf numFmtId="165" fontId="5" fillId="0" borderId="7" xfId="0" applyNumberFormat="1" applyFont="1" applyBorder="1" applyAlignment="1">
      <alignment horizontal="center" vertical="top" shrinkToFit="1"/>
    </xf>
    <xf numFmtId="0" fontId="4" fillId="0" borderId="6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0" fillId="0" borderId="5" xfId="0" applyBorder="1" applyAlignment="1">
      <alignment horizontal="right" vertical="top" wrapText="1"/>
    </xf>
    <xf numFmtId="0" fontId="4" fillId="0" borderId="8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top" wrapText="1"/>
    </xf>
    <xf numFmtId="2" fontId="5" fillId="0" borderId="6" xfId="0" applyNumberFormat="1" applyFont="1" applyBorder="1" applyAlignment="1">
      <alignment horizontal="center" vertical="top" shrinkToFit="1"/>
    </xf>
    <xf numFmtId="2" fontId="5" fillId="0" borderId="9" xfId="0" applyNumberFormat="1" applyFont="1" applyBorder="1" applyAlignment="1">
      <alignment horizontal="center" vertical="top" shrinkToFit="1"/>
    </xf>
    <xf numFmtId="166" fontId="0" fillId="0" borderId="0" xfId="0" applyNumberForma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/>
    <xf numFmtId="2" fontId="0" fillId="0" borderId="0" xfId="0" applyNumberFormat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 shrinkToFit="1"/>
    </xf>
    <xf numFmtId="165" fontId="0" fillId="0" borderId="0" xfId="0" applyNumberFormat="1" applyAlignment="1">
      <alignment horizontal="center" vertical="center"/>
    </xf>
    <xf numFmtId="0" fontId="14" fillId="0" borderId="0" xfId="0" applyFont="1"/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0" fontId="13" fillId="0" borderId="11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4" borderId="13" xfId="0" applyFont="1" applyFill="1" applyBorder="1" applyAlignment="1">
      <alignment horizontal="center" vertical="center" wrapText="1"/>
    </xf>
    <xf numFmtId="0" fontId="13" fillId="4" borderId="14" xfId="0" applyFont="1" applyFill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15" xfId="0" applyFont="1" applyBorder="1" applyAlignment="1">
      <alignment vertical="center" wrapText="1"/>
    </xf>
    <xf numFmtId="0" fontId="13" fillId="0" borderId="16" xfId="0" quotePrefix="1" applyFont="1" applyBorder="1" applyAlignment="1">
      <alignment horizontal="center" vertical="center" shrinkToFit="1"/>
    </xf>
    <xf numFmtId="0" fontId="14" fillId="0" borderId="17" xfId="0" applyFont="1" applyBorder="1" applyAlignment="1">
      <alignment horizontal="center" vertical="center" shrinkToFit="1"/>
    </xf>
    <xf numFmtId="0" fontId="14" fillId="4" borderId="17" xfId="0" applyFont="1" applyFill="1" applyBorder="1" applyAlignment="1">
      <alignment horizontal="center" vertical="center" shrinkToFit="1"/>
    </xf>
    <xf numFmtId="0" fontId="14" fillId="4" borderId="18" xfId="0" applyFont="1" applyFill="1" applyBorder="1" applyAlignment="1">
      <alignment horizontal="center" vertical="center" shrinkToFit="1"/>
    </xf>
    <xf numFmtId="0" fontId="14" fillId="0" borderId="18" xfId="0" applyFont="1" applyBorder="1" applyAlignment="1">
      <alignment horizontal="center" vertical="center" shrinkToFit="1"/>
    </xf>
    <xf numFmtId="0" fontId="14" fillId="0" borderId="0" xfId="0" applyFont="1" applyAlignment="1">
      <alignment horizontal="center" vertical="center" wrapText="1"/>
    </xf>
    <xf numFmtId="0" fontId="13" fillId="0" borderId="16" xfId="0" applyFont="1" applyBorder="1" applyAlignment="1">
      <alignment horizontal="center" vertical="center" shrinkToFit="1"/>
    </xf>
    <xf numFmtId="0" fontId="14" fillId="4" borderId="19" xfId="0" applyFont="1" applyFill="1" applyBorder="1" applyAlignment="1">
      <alignment horizontal="center" vertical="center" shrinkToFit="1"/>
    </xf>
    <xf numFmtId="0" fontId="14" fillId="0" borderId="19" xfId="0" applyFont="1" applyBorder="1" applyAlignment="1">
      <alignment horizontal="center" vertical="center" shrinkToFit="1"/>
    </xf>
    <xf numFmtId="0" fontId="13" fillId="0" borderId="20" xfId="0" applyFont="1" applyBorder="1" applyAlignment="1">
      <alignment vertical="center" wrapText="1"/>
    </xf>
    <xf numFmtId="0" fontId="13" fillId="0" borderId="21" xfId="0" applyFont="1" applyBorder="1" applyAlignment="1">
      <alignment horizontal="center" vertical="center" shrinkToFit="1"/>
    </xf>
    <xf numFmtId="0" fontId="14" fillId="0" borderId="22" xfId="0" applyFont="1" applyBorder="1" applyAlignment="1">
      <alignment horizontal="center" vertical="center" shrinkToFit="1"/>
    </xf>
    <xf numFmtId="167" fontId="14" fillId="4" borderId="22" xfId="0" applyNumberFormat="1" applyFont="1" applyFill="1" applyBorder="1" applyAlignment="1">
      <alignment horizontal="center" vertical="center" shrinkToFit="1"/>
    </xf>
    <xf numFmtId="0" fontId="14" fillId="4" borderId="23" xfId="0" applyFont="1" applyFill="1" applyBorder="1" applyAlignment="1">
      <alignment horizontal="center" vertical="center" shrinkToFit="1"/>
    </xf>
    <xf numFmtId="0" fontId="14" fillId="0" borderId="23" xfId="0" applyFont="1" applyBorder="1" applyAlignment="1">
      <alignment horizontal="center" vertical="center" shrinkToFit="1"/>
    </xf>
    <xf numFmtId="0" fontId="14" fillId="0" borderId="0" xfId="0" applyFont="1" applyAlignment="1">
      <alignment vertical="center" wrapText="1"/>
    </xf>
    <xf numFmtId="3" fontId="14" fillId="4" borderId="22" xfId="0" applyNumberFormat="1" applyFont="1" applyFill="1" applyBorder="1" applyAlignment="1">
      <alignment horizontal="center" vertical="center" shrinkToFit="1"/>
    </xf>
    <xf numFmtId="3" fontId="14" fillId="0" borderId="22" xfId="0" applyNumberFormat="1" applyFont="1" applyBorder="1" applyAlignment="1">
      <alignment horizontal="center" vertical="center" shrinkToFit="1"/>
    </xf>
    <xf numFmtId="3" fontId="14" fillId="4" borderId="23" xfId="0" applyNumberFormat="1" applyFont="1" applyFill="1" applyBorder="1" applyAlignment="1">
      <alignment horizontal="center" vertical="center" shrinkToFit="1"/>
    </xf>
    <xf numFmtId="3" fontId="14" fillId="0" borderId="23" xfId="0" applyNumberFormat="1" applyFont="1" applyBorder="1" applyAlignment="1">
      <alignment horizontal="center" vertical="center" shrinkToFit="1"/>
    </xf>
    <xf numFmtId="1" fontId="14" fillId="0" borderId="22" xfId="0" applyNumberFormat="1" applyFont="1" applyBorder="1" applyAlignment="1">
      <alignment horizontal="center" vertical="center" shrinkToFit="1"/>
    </xf>
    <xf numFmtId="1" fontId="14" fillId="4" borderId="22" xfId="0" applyNumberFormat="1" applyFont="1" applyFill="1" applyBorder="1" applyAlignment="1">
      <alignment horizontal="center" vertical="center" shrinkToFit="1"/>
    </xf>
    <xf numFmtId="1" fontId="14" fillId="0" borderId="23" xfId="0" applyNumberFormat="1" applyFont="1" applyBorder="1" applyAlignment="1">
      <alignment horizontal="center" vertical="center" shrinkToFit="1"/>
    </xf>
    <xf numFmtId="166" fontId="14" fillId="0" borderId="22" xfId="0" applyNumberFormat="1" applyFont="1" applyBorder="1" applyAlignment="1">
      <alignment horizontal="center" vertical="center" shrinkToFit="1"/>
    </xf>
    <xf numFmtId="166" fontId="14" fillId="4" borderId="22" xfId="0" applyNumberFormat="1" applyFont="1" applyFill="1" applyBorder="1" applyAlignment="1">
      <alignment horizontal="center" vertical="center" shrinkToFit="1"/>
    </xf>
    <xf numFmtId="11" fontId="14" fillId="0" borderId="23" xfId="0" applyNumberFormat="1" applyFont="1" applyBorder="1" applyAlignment="1">
      <alignment horizontal="center" vertical="center" shrinkToFit="1"/>
    </xf>
    <xf numFmtId="167" fontId="14" fillId="0" borderId="22" xfId="0" applyNumberFormat="1" applyFont="1" applyBorder="1" applyAlignment="1">
      <alignment horizontal="center" vertical="center" shrinkToFit="1"/>
    </xf>
    <xf numFmtId="165" fontId="14" fillId="0" borderId="22" xfId="0" applyNumberFormat="1" applyFont="1" applyBorder="1" applyAlignment="1">
      <alignment horizontal="center" vertical="center" shrinkToFit="1"/>
    </xf>
    <xf numFmtId="11" fontId="14" fillId="0" borderId="22" xfId="0" applyNumberFormat="1" applyFont="1" applyBorder="1" applyAlignment="1">
      <alignment horizontal="center" vertical="center" shrinkToFit="1"/>
    </xf>
    <xf numFmtId="0" fontId="14" fillId="4" borderId="22" xfId="0" applyFont="1" applyFill="1" applyBorder="1" applyAlignment="1">
      <alignment horizontal="center" vertical="center" shrinkToFit="1"/>
    </xf>
    <xf numFmtId="0" fontId="13" fillId="0" borderId="24" xfId="0" applyFont="1" applyBorder="1" applyAlignment="1">
      <alignment vertical="center" wrapText="1"/>
    </xf>
    <xf numFmtId="0" fontId="13" fillId="0" borderId="25" xfId="0" applyFont="1" applyBorder="1" applyAlignment="1">
      <alignment horizontal="center" vertical="center" shrinkToFit="1"/>
    </xf>
    <xf numFmtId="0" fontId="14" fillId="0" borderId="26" xfId="0" applyFont="1" applyBorder="1" applyAlignment="1">
      <alignment horizontal="center" vertical="center" shrinkToFit="1"/>
    </xf>
    <xf numFmtId="0" fontId="14" fillId="4" borderId="26" xfId="0" applyFont="1" applyFill="1" applyBorder="1" applyAlignment="1">
      <alignment horizontal="center" vertical="center" shrinkToFit="1"/>
    </xf>
    <xf numFmtId="0" fontId="14" fillId="4" borderId="27" xfId="0" applyFont="1" applyFill="1" applyBorder="1" applyAlignment="1">
      <alignment horizontal="center" vertical="center" shrinkToFit="1"/>
    </xf>
    <xf numFmtId="0" fontId="14" fillId="0" borderId="27" xfId="0" applyFont="1" applyBorder="1" applyAlignment="1">
      <alignment horizontal="center" vertical="center" shrinkToFit="1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right"/>
    </xf>
    <xf numFmtId="168" fontId="14" fillId="0" borderId="0" xfId="0" applyNumberFormat="1" applyFont="1" applyAlignment="1">
      <alignment horizontal="right"/>
    </xf>
    <xf numFmtId="2" fontId="14" fillId="0" borderId="0" xfId="0" applyNumberFormat="1" applyFont="1"/>
    <xf numFmtId="0" fontId="13" fillId="0" borderId="0" xfId="0" applyFont="1"/>
    <xf numFmtId="0" fontId="13" fillId="0" borderId="0" xfId="0" applyFont="1" applyAlignment="1">
      <alignment horizontal="right"/>
    </xf>
    <xf numFmtId="0" fontId="14" fillId="0" borderId="0" xfId="0" applyFont="1" applyAlignment="1">
      <alignment horizontal="right" vertical="center"/>
    </xf>
    <xf numFmtId="0" fontId="22" fillId="0" borderId="0" xfId="0" applyFont="1"/>
    <xf numFmtId="0" fontId="0" fillId="0" borderId="0" xfId="0" applyAlignment="1">
      <alignment vertical="top"/>
    </xf>
    <xf numFmtId="10" fontId="0" fillId="0" borderId="0" xfId="0" applyNumberFormat="1" applyAlignment="1">
      <alignment vertical="top"/>
    </xf>
    <xf numFmtId="0" fontId="0" fillId="0" borderId="28" xfId="0" applyBorder="1" applyAlignment="1">
      <alignment vertical="top"/>
    </xf>
    <xf numFmtId="10" fontId="0" fillId="0" borderId="28" xfId="0" applyNumberFormat="1" applyBorder="1" applyAlignment="1">
      <alignment vertical="top"/>
    </xf>
    <xf numFmtId="0" fontId="23" fillId="0" borderId="29" xfId="0" applyFont="1" applyBorder="1" applyAlignment="1">
      <alignment horizontal="center" vertical="top"/>
    </xf>
    <xf numFmtId="0" fontId="8" fillId="0" borderId="5" xfId="0" applyFont="1" applyBorder="1" applyAlignment="1">
      <alignment horizontal="right" vertical="top" wrapText="1"/>
    </xf>
    <xf numFmtId="2" fontId="0" fillId="5" borderId="0" xfId="0" applyNumberFormat="1" applyFill="1" applyAlignment="1">
      <alignment horizontal="center" vertical="center"/>
    </xf>
    <xf numFmtId="165" fontId="0" fillId="5" borderId="0" xfId="0" applyNumberForma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2" fontId="0" fillId="0" borderId="0" xfId="0" applyNumberFormat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22" fillId="0" borderId="34" xfId="0" applyFont="1" applyBorder="1" applyAlignment="1">
      <alignment horizontal="center" vertical="center"/>
    </xf>
    <xf numFmtId="1" fontId="22" fillId="0" borderId="34" xfId="0" applyNumberFormat="1" applyFont="1" applyBorder="1" applyAlignment="1">
      <alignment horizontal="center" vertical="center" wrapText="1"/>
    </xf>
    <xf numFmtId="1" fontId="22" fillId="0" borderId="35" xfId="0" applyNumberFormat="1" applyFont="1" applyBorder="1" applyAlignment="1">
      <alignment horizontal="center" vertical="center" wrapText="1"/>
    </xf>
    <xf numFmtId="1" fontId="0" fillId="0" borderId="34" xfId="0" applyNumberFormat="1" applyBorder="1" applyAlignment="1">
      <alignment horizontal="center" vertical="center"/>
    </xf>
    <xf numFmtId="1" fontId="22" fillId="0" borderId="34" xfId="0" applyNumberFormat="1" applyFont="1" applyBorder="1" applyAlignment="1">
      <alignment horizontal="center" vertical="center"/>
    </xf>
    <xf numFmtId="165" fontId="0" fillId="0" borderId="35" xfId="0" applyNumberFormat="1" applyBorder="1" applyAlignment="1">
      <alignment horizontal="center" vertical="center"/>
    </xf>
    <xf numFmtId="1" fontId="0" fillId="0" borderId="37" xfId="0" applyNumberFormat="1" applyBorder="1" applyAlignment="1">
      <alignment horizontal="center" vertical="center"/>
    </xf>
    <xf numFmtId="1" fontId="22" fillId="0" borderId="37" xfId="0" applyNumberFormat="1" applyFont="1" applyBorder="1" applyAlignment="1">
      <alignment horizontal="center" vertical="center"/>
    </xf>
    <xf numFmtId="165" fontId="0" fillId="0" borderId="38" xfId="0" applyNumberFormat="1" applyBorder="1" applyAlignment="1">
      <alignment horizontal="center" vertical="center"/>
    </xf>
    <xf numFmtId="0" fontId="22" fillId="0" borderId="0" xfId="0" applyFont="1" applyAlignment="1">
      <alignment horizontal="left" vertical="top"/>
    </xf>
    <xf numFmtId="2" fontId="0" fillId="0" borderId="0" xfId="0" applyNumberFormat="1"/>
    <xf numFmtId="4" fontId="0" fillId="0" borderId="0" xfId="0" applyNumberFormat="1"/>
    <xf numFmtId="0" fontId="22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4" fillId="0" borderId="0" xfId="0" applyFont="1" applyAlignment="1">
      <alignment horizontal="center" vertical="top" wrapText="1"/>
    </xf>
    <xf numFmtId="2" fontId="5" fillId="0" borderId="0" xfId="0" applyNumberFormat="1" applyFont="1" applyAlignment="1">
      <alignment horizontal="center" vertical="top" shrinkToFit="1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 shrinkToFit="1"/>
    </xf>
    <xf numFmtId="167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0" fontId="0" fillId="6" borderId="0" xfId="0" applyFill="1" applyAlignment="1">
      <alignment horizontal="left" vertical="top"/>
    </xf>
    <xf numFmtId="0" fontId="22" fillId="6" borderId="0" xfId="0" applyFont="1" applyFill="1" applyAlignment="1">
      <alignment horizontal="left" vertical="top"/>
    </xf>
    <xf numFmtId="4" fontId="0" fillId="0" borderId="0" xfId="0" applyNumberFormat="1" applyAlignment="1">
      <alignment horizontal="left" vertical="top"/>
    </xf>
    <xf numFmtId="0" fontId="32" fillId="0" borderId="0" xfId="0" applyFont="1" applyAlignment="1">
      <alignment horizontal="left" vertical="top"/>
    </xf>
    <xf numFmtId="0" fontId="33" fillId="0" borderId="0" xfId="0" applyFont="1" applyAlignment="1">
      <alignment horizontal="left" vertical="top"/>
    </xf>
    <xf numFmtId="1" fontId="22" fillId="0" borderId="0" xfId="0" applyNumberFormat="1" applyFont="1" applyAlignment="1">
      <alignment horizontal="left" vertical="top"/>
    </xf>
    <xf numFmtId="1" fontId="14" fillId="0" borderId="0" xfId="0" applyNumberFormat="1" applyFont="1" applyAlignment="1">
      <alignment horizontal="left" vertical="center" wrapText="1"/>
    </xf>
    <xf numFmtId="1" fontId="34" fillId="0" borderId="0" xfId="0" applyNumberFormat="1" applyFont="1" applyAlignment="1">
      <alignment horizontal="left" vertical="top" shrinkToFit="1"/>
    </xf>
    <xf numFmtId="4" fontId="31" fillId="0" borderId="0" xfId="0" applyNumberFormat="1" applyFont="1" applyAlignment="1">
      <alignment horizontal="left" vertical="top" shrinkToFit="1"/>
    </xf>
    <xf numFmtId="3" fontId="0" fillId="0" borderId="0" xfId="0" applyNumberFormat="1" applyAlignment="1">
      <alignment horizontal="left" vertical="top"/>
    </xf>
    <xf numFmtId="3" fontId="22" fillId="0" borderId="0" xfId="0" applyNumberFormat="1" applyFon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0" fillId="7" borderId="0" xfId="0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2" fillId="0" borderId="0" xfId="0" applyFont="1" applyAlignment="1">
      <alignment horizontal="left" vertical="center"/>
    </xf>
    <xf numFmtId="169" fontId="0" fillId="7" borderId="0" xfId="0" applyNumberFormat="1" applyFill="1" applyAlignment="1">
      <alignment horizontal="center" vertical="center"/>
    </xf>
    <xf numFmtId="165" fontId="0" fillId="7" borderId="0" xfId="0" applyNumberFormat="1" applyFill="1" applyAlignment="1">
      <alignment horizontal="center" vertical="center"/>
    </xf>
    <xf numFmtId="167" fontId="0" fillId="7" borderId="0" xfId="0" applyNumberFormat="1" applyFill="1" applyAlignment="1">
      <alignment horizontal="center" vertical="center"/>
    </xf>
    <xf numFmtId="0" fontId="22" fillId="7" borderId="0" xfId="0" applyFont="1" applyFill="1" applyAlignment="1">
      <alignment horizontal="left" vertical="center"/>
    </xf>
    <xf numFmtId="0" fontId="0" fillId="8" borderId="0" xfId="0" applyFill="1" applyAlignment="1">
      <alignment horizontal="center" vertical="center"/>
    </xf>
    <xf numFmtId="1" fontId="0" fillId="8" borderId="0" xfId="0" applyNumberFormat="1" applyFill="1" applyAlignment="1">
      <alignment horizontal="center" vertical="center"/>
    </xf>
    <xf numFmtId="2" fontId="0" fillId="8" borderId="0" xfId="0" applyNumberFormat="1" applyFill="1" applyAlignment="1">
      <alignment horizontal="center" vertical="center"/>
    </xf>
    <xf numFmtId="0" fontId="22" fillId="8" borderId="0" xfId="0" applyFont="1" applyFill="1" applyAlignment="1">
      <alignment horizontal="left" vertical="center"/>
    </xf>
    <xf numFmtId="1" fontId="0" fillId="0" borderId="0" xfId="0" applyNumberFormat="1" applyAlignment="1">
      <alignment horizontal="right" vertical="center"/>
    </xf>
    <xf numFmtId="167" fontId="0" fillId="0" borderId="0" xfId="0" applyNumberFormat="1" applyAlignment="1">
      <alignment horizontal="right" vertical="center"/>
    </xf>
    <xf numFmtId="167" fontId="0" fillId="0" borderId="0" xfId="0" applyNumberFormat="1" applyAlignment="1">
      <alignment horizontal="left" vertical="top"/>
    </xf>
    <xf numFmtId="0" fontId="0" fillId="6" borderId="0" xfId="0" applyFill="1" applyAlignment="1">
      <alignment horizontal="center" vertical="center"/>
    </xf>
    <xf numFmtId="0" fontId="22" fillId="6" borderId="0" xfId="0" applyFont="1" applyFill="1" applyAlignment="1">
      <alignment horizontal="center" vertical="center" shrinkToFit="1"/>
    </xf>
    <xf numFmtId="1" fontId="0" fillId="6" borderId="0" xfId="0" applyNumberFormat="1" applyFill="1" applyAlignment="1">
      <alignment horizontal="center" vertical="center"/>
    </xf>
    <xf numFmtId="0" fontId="22" fillId="0" borderId="0" xfId="0" applyFont="1" applyAlignment="1">
      <alignment shrinkToFit="1"/>
    </xf>
    <xf numFmtId="165" fontId="22" fillId="0" borderId="34" xfId="0" applyNumberFormat="1" applyFont="1" applyBorder="1" applyAlignment="1">
      <alignment horizontal="center" vertical="center"/>
    </xf>
    <xf numFmtId="165" fontId="0" fillId="0" borderId="34" xfId="0" applyNumberFormat="1" applyBorder="1" applyAlignment="1">
      <alignment horizontal="center" vertical="center"/>
    </xf>
    <xf numFmtId="167" fontId="12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3" fillId="2" borderId="4" xfId="0" applyFont="1" applyFill="1" applyBorder="1" applyAlignment="1">
      <alignment horizontal="left" vertical="top" wrapText="1" indent="6"/>
    </xf>
    <xf numFmtId="0" fontId="0" fillId="3" borderId="0" xfId="0" applyFill="1" applyAlignment="1">
      <alignment horizontal="left" wrapText="1"/>
    </xf>
    <xf numFmtId="0" fontId="14" fillId="0" borderId="0" xfId="0" applyFont="1"/>
    <xf numFmtId="0" fontId="14" fillId="0" borderId="0" xfId="0" applyFont="1" applyAlignment="1">
      <alignment horizontal="left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0" fillId="0" borderId="33" xfId="0" applyBorder="1" applyAlignment="1">
      <alignment horizontal="center" vertical="center" shrinkToFit="1"/>
    </xf>
    <xf numFmtId="0" fontId="0" fillId="0" borderId="34" xfId="0" applyBorder="1" applyAlignment="1">
      <alignment horizontal="center" vertical="center" shrinkToFit="1"/>
    </xf>
    <xf numFmtId="0" fontId="0" fillId="0" borderId="36" xfId="0" applyBorder="1" applyAlignment="1">
      <alignment horizontal="center" vertical="center" shrinkToFit="1"/>
    </xf>
    <xf numFmtId="0" fontId="0" fillId="0" borderId="37" xfId="0" applyBorder="1" applyAlignment="1">
      <alignment horizontal="center" vertical="center" shrinkToFit="1"/>
    </xf>
    <xf numFmtId="0" fontId="22" fillId="0" borderId="30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22" fillId="0" borderId="33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2" fillId="0" borderId="31" xfId="0" applyFont="1" applyBorder="1" applyAlignment="1">
      <alignment horizontal="center" vertical="center" shrinkToFit="1"/>
    </xf>
    <xf numFmtId="0" fontId="0" fillId="0" borderId="32" xfId="0" applyBorder="1" applyAlignment="1">
      <alignment horizontal="center" vertical="center" shrinkToFit="1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22" fillId="0" borderId="33" xfId="0" applyFont="1" applyBorder="1" applyAlignment="1">
      <alignment horizontal="center" vertical="center"/>
    </xf>
    <xf numFmtId="0" fontId="22" fillId="0" borderId="34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7" borderId="0" xfId="0" applyFill="1" applyAlignment="1">
      <alignment horizontal="left" vertical="center"/>
    </xf>
    <xf numFmtId="2" fontId="0" fillId="7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6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4.xml"/><Relationship Id="rId10" Type="http://schemas.openxmlformats.org/officeDocument/2006/relationships/styles" Target="styles.xml"/><Relationship Id="rId4" Type="http://schemas.openxmlformats.org/officeDocument/2006/relationships/chartsheet" Target="chartsheets/sheet1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ysClr val="windowText" lastClr="000000"/>
                </a:solidFill>
              </a:rPr>
              <a:t>PCE Distributiuon</a:t>
            </a:r>
            <a:r>
              <a:rPr lang="en-US" sz="1800" b="1" baseline="0">
                <a:solidFill>
                  <a:sysClr val="windowText" lastClr="000000"/>
                </a:solidFill>
              </a:rPr>
              <a:t> (NAPL Saturation [S</a:t>
            </a:r>
            <a:r>
              <a:rPr lang="en-US" sz="1800" b="1" baseline="-25000">
                <a:solidFill>
                  <a:sysClr val="windowText" lastClr="000000"/>
                </a:solidFill>
              </a:rPr>
              <a:t>r</a:t>
            </a:r>
            <a:r>
              <a:rPr lang="en-US" sz="1800" b="1" baseline="0">
                <a:solidFill>
                  <a:sysClr val="windowText" lastClr="000000"/>
                </a:solidFill>
              </a:rPr>
              <a:t> ≤ 0.5] and </a:t>
            </a:r>
            <a:r>
              <a:rPr lang="en-US" sz="1800" b="1">
                <a:solidFill>
                  <a:sysClr val="windowText" lastClr="000000"/>
                </a:solidFill>
              </a:rPr>
              <a:t>Concentration Saturation [C</a:t>
            </a:r>
            <a:r>
              <a:rPr lang="en-US" sz="1800" b="1" baseline="-25000">
                <a:solidFill>
                  <a:sysClr val="windowText" lastClr="000000"/>
                </a:solidFill>
              </a:rPr>
              <a:t>sat</a:t>
            </a:r>
            <a:r>
              <a:rPr lang="en-US" sz="1800" b="1">
                <a:solidFill>
                  <a:sysClr val="windowText" lastClr="000000"/>
                </a:solidFill>
              </a:rPr>
              <a:t>])</a:t>
            </a:r>
          </a:p>
        </c:rich>
      </c:tx>
      <c:layout>
        <c:manualLayout>
          <c:xMode val="edge"/>
          <c:yMode val="edge"/>
          <c:x val="0.13158171756579479"/>
          <c:y val="4.774511537180691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749497191397977"/>
          <c:y val="9.3121815320643675E-2"/>
          <c:w val="0.86631575573038078"/>
          <c:h val="0.7896874114819024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'Csat-Calc'!$D$53</c:f>
              <c:strCache>
                <c:ptCount val="1"/>
                <c:pt idx="0">
                  <c:v>Groundwater</c:v>
                </c:pt>
              </c:strCache>
            </c:strRef>
          </c:tx>
          <c:spPr>
            <a:ln w="3810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'Csat-Calc'!$C$54:$C$148</c:f>
              <c:numCache>
                <c:formatCode>0</c:formatCode>
                <c:ptCount val="95"/>
                <c:pt idx="0">
                  <c:v>132472.95570652172</c:v>
                </c:pt>
                <c:pt idx="1">
                  <c:v>129823.49918478257</c:v>
                </c:pt>
                <c:pt idx="2">
                  <c:v>127174.04266304347</c:v>
                </c:pt>
                <c:pt idx="3">
                  <c:v>124524.58614130432</c:v>
                </c:pt>
                <c:pt idx="4">
                  <c:v>121875.12961956521</c:v>
                </c:pt>
                <c:pt idx="5">
                  <c:v>119225.67309782607</c:v>
                </c:pt>
                <c:pt idx="6">
                  <c:v>116576.21657608695</c:v>
                </c:pt>
                <c:pt idx="7">
                  <c:v>113926.76005434782</c:v>
                </c:pt>
                <c:pt idx="8">
                  <c:v>111277.30353260868</c:v>
                </c:pt>
                <c:pt idx="9">
                  <c:v>108627.84701086953</c:v>
                </c:pt>
                <c:pt idx="10">
                  <c:v>105978.39048913043</c:v>
                </c:pt>
                <c:pt idx="11">
                  <c:v>103328.93396739129</c:v>
                </c:pt>
                <c:pt idx="12">
                  <c:v>100679.47744565214</c:v>
                </c:pt>
                <c:pt idx="13">
                  <c:v>98030.020923913034</c:v>
                </c:pt>
                <c:pt idx="14">
                  <c:v>95380.564402173899</c:v>
                </c:pt>
                <c:pt idx="15">
                  <c:v>92731.107880434778</c:v>
                </c:pt>
                <c:pt idx="16">
                  <c:v>90081.651358695643</c:v>
                </c:pt>
                <c:pt idx="17">
                  <c:v>87432.194836956522</c:v>
                </c:pt>
                <c:pt idx="18">
                  <c:v>84782.738315217386</c:v>
                </c:pt>
                <c:pt idx="19">
                  <c:v>82133.281793478251</c:v>
                </c:pt>
                <c:pt idx="20">
                  <c:v>79483.825271739115</c:v>
                </c:pt>
                <c:pt idx="21">
                  <c:v>76834.368749999994</c:v>
                </c:pt>
                <c:pt idx="22">
                  <c:v>74184.912228260859</c:v>
                </c:pt>
                <c:pt idx="23">
                  <c:v>71535.455706521723</c:v>
                </c:pt>
                <c:pt idx="24">
                  <c:v>68885.999184782602</c:v>
                </c:pt>
                <c:pt idx="25">
                  <c:v>66236.542663043467</c:v>
                </c:pt>
                <c:pt idx="26">
                  <c:v>63587.086141304346</c:v>
                </c:pt>
                <c:pt idx="27">
                  <c:v>60937.629619565218</c:v>
                </c:pt>
                <c:pt idx="28">
                  <c:v>58288.173097826089</c:v>
                </c:pt>
                <c:pt idx="29">
                  <c:v>55638.716576086954</c:v>
                </c:pt>
                <c:pt idx="30">
                  <c:v>52989.260054347826</c:v>
                </c:pt>
                <c:pt idx="31">
                  <c:v>50339.803532608683</c:v>
                </c:pt>
                <c:pt idx="32">
                  <c:v>47690.347010869562</c:v>
                </c:pt>
                <c:pt idx="33">
                  <c:v>45040.890489130434</c:v>
                </c:pt>
                <c:pt idx="34">
                  <c:v>42391.433967391305</c:v>
                </c:pt>
                <c:pt idx="35">
                  <c:v>39741.97744565217</c:v>
                </c:pt>
                <c:pt idx="36">
                  <c:v>37092.520923913042</c:v>
                </c:pt>
                <c:pt idx="37">
                  <c:v>34443.064402173914</c:v>
                </c:pt>
                <c:pt idx="38">
                  <c:v>31793.607880434782</c:v>
                </c:pt>
                <c:pt idx="39">
                  <c:v>29144.151358695653</c:v>
                </c:pt>
                <c:pt idx="40">
                  <c:v>26494.694836956522</c:v>
                </c:pt>
                <c:pt idx="41">
                  <c:v>23845.23831521739</c:v>
                </c:pt>
                <c:pt idx="42">
                  <c:v>21195.781793478262</c:v>
                </c:pt>
                <c:pt idx="43">
                  <c:v>18546.32527173913</c:v>
                </c:pt>
                <c:pt idx="44">
                  <c:v>15896.86875</c:v>
                </c:pt>
                <c:pt idx="45">
                  <c:v>13247.41222826087</c:v>
                </c:pt>
                <c:pt idx="46">
                  <c:v>10597.95570652174</c:v>
                </c:pt>
                <c:pt idx="47">
                  <c:v>7948.4991847826086</c:v>
                </c:pt>
                <c:pt idx="48">
                  <c:v>5299.0426630434786</c:v>
                </c:pt>
                <c:pt idx="49">
                  <c:v>2649.5861413043481</c:v>
                </c:pt>
                <c:pt idx="50">
                  <c:v>2384.6404891304351</c:v>
                </c:pt>
                <c:pt idx="51">
                  <c:v>2119.6948369565216</c:v>
                </c:pt>
                <c:pt idx="52">
                  <c:v>1854.7491847826084</c:v>
                </c:pt>
                <c:pt idx="53">
                  <c:v>1589.8035326086956</c:v>
                </c:pt>
                <c:pt idx="54">
                  <c:v>1324.8578804347826</c:v>
                </c:pt>
                <c:pt idx="55">
                  <c:v>1059.9122282608694</c:v>
                </c:pt>
                <c:pt idx="56">
                  <c:v>794.96657608695909</c:v>
                </c:pt>
                <c:pt idx="57">
                  <c:v>530.02092391304609</c:v>
                </c:pt>
                <c:pt idx="58">
                  <c:v>265.07527173913309</c:v>
                </c:pt>
                <c:pt idx="59">
                  <c:v>238.5807065217391</c:v>
                </c:pt>
                <c:pt idx="60">
                  <c:v>212.08614130434782</c:v>
                </c:pt>
                <c:pt idx="61">
                  <c:v>185.59157608695651</c:v>
                </c:pt>
                <c:pt idx="62">
                  <c:v>159.09701086956517</c:v>
                </c:pt>
                <c:pt idx="63">
                  <c:v>132.60244565217388</c:v>
                </c:pt>
                <c:pt idx="64">
                  <c:v>106.10788043478261</c:v>
                </c:pt>
                <c:pt idx="65">
                  <c:v>79.613315217391289</c:v>
                </c:pt>
                <c:pt idx="66">
                  <c:v>53.118749999999999</c:v>
                </c:pt>
                <c:pt idx="67">
                  <c:v>26.62418478260896</c:v>
                </c:pt>
                <c:pt idx="68">
                  <c:v>23.974728260869565</c:v>
                </c:pt>
                <c:pt idx="69">
                  <c:v>21.325271739130436</c:v>
                </c:pt>
                <c:pt idx="70">
                  <c:v>18.6758152173913</c:v>
                </c:pt>
                <c:pt idx="71">
                  <c:v>16.026358695652174</c:v>
                </c:pt>
                <c:pt idx="72">
                  <c:v>13.376902173913043</c:v>
                </c:pt>
                <c:pt idx="73">
                  <c:v>10.727445652173913</c:v>
                </c:pt>
                <c:pt idx="74" formatCode="0.0">
                  <c:v>8.0779891304347817</c:v>
                </c:pt>
                <c:pt idx="75" formatCode="0.0">
                  <c:v>5.4285326086956518</c:v>
                </c:pt>
                <c:pt idx="76" formatCode="0.0">
                  <c:v>2.7790760869565219</c:v>
                </c:pt>
                <c:pt idx="77" formatCode="0.0">
                  <c:v>2.5141304347826088</c:v>
                </c:pt>
                <c:pt idx="78" formatCode="0.0">
                  <c:v>2.2491847826086957</c:v>
                </c:pt>
                <c:pt idx="79" formatCode="0.0">
                  <c:v>1.9842391304347824</c:v>
                </c:pt>
                <c:pt idx="80" formatCode="0.0">
                  <c:v>1.7192934782608693</c:v>
                </c:pt>
                <c:pt idx="81" formatCode="0.0">
                  <c:v>1.4543478260869565</c:v>
                </c:pt>
                <c:pt idx="82" formatCode="0.0">
                  <c:v>1.1894021739130434</c:v>
                </c:pt>
                <c:pt idx="83" formatCode="0.0">
                  <c:v>0.92445652173913029</c:v>
                </c:pt>
                <c:pt idx="84" formatCode="0.0">
                  <c:v>0.65951086956521732</c:v>
                </c:pt>
                <c:pt idx="85" formatCode="0.0">
                  <c:v>0.39456521739130435</c:v>
                </c:pt>
                <c:pt idx="86" formatCode="0.0">
                  <c:v>0.36807065217391299</c:v>
                </c:pt>
                <c:pt idx="87" formatCode="0.0">
                  <c:v>0.3415760869565217</c:v>
                </c:pt>
                <c:pt idx="88" formatCode="0.0">
                  <c:v>0.3150815217391304</c:v>
                </c:pt>
                <c:pt idx="89" formatCode="0.0">
                  <c:v>0.2885869565217391</c:v>
                </c:pt>
                <c:pt idx="90" formatCode="0.0">
                  <c:v>0.2620923913043478</c:v>
                </c:pt>
                <c:pt idx="91" formatCode="0.0">
                  <c:v>0.23559782608695651</c:v>
                </c:pt>
                <c:pt idx="92" formatCode="0.0">
                  <c:v>0.20910326086956521</c:v>
                </c:pt>
                <c:pt idx="93" formatCode="0.0">
                  <c:v>0.18260869565217389</c:v>
                </c:pt>
                <c:pt idx="94" formatCode="0.0">
                  <c:v>0.15611413043478259</c:v>
                </c:pt>
              </c:numCache>
            </c:numRef>
          </c:xVal>
          <c:yVal>
            <c:numRef>
              <c:f>'Csat-Calc'!$D$54:$D$148</c:f>
              <c:numCache>
                <c:formatCode>General</c:formatCode>
                <c:ptCount val="95"/>
                <c:pt idx="0">
                  <c:v>210</c:v>
                </c:pt>
                <c:pt idx="1">
                  <c:v>210</c:v>
                </c:pt>
                <c:pt idx="2">
                  <c:v>210</c:v>
                </c:pt>
                <c:pt idx="3">
                  <c:v>210</c:v>
                </c:pt>
                <c:pt idx="4">
                  <c:v>210</c:v>
                </c:pt>
                <c:pt idx="5">
                  <c:v>210</c:v>
                </c:pt>
                <c:pt idx="6">
                  <c:v>210</c:v>
                </c:pt>
                <c:pt idx="7">
                  <c:v>210</c:v>
                </c:pt>
                <c:pt idx="8">
                  <c:v>210</c:v>
                </c:pt>
                <c:pt idx="9">
                  <c:v>210</c:v>
                </c:pt>
                <c:pt idx="10">
                  <c:v>210</c:v>
                </c:pt>
                <c:pt idx="11">
                  <c:v>210</c:v>
                </c:pt>
                <c:pt idx="12">
                  <c:v>210</c:v>
                </c:pt>
                <c:pt idx="13">
                  <c:v>210</c:v>
                </c:pt>
                <c:pt idx="14">
                  <c:v>210</c:v>
                </c:pt>
                <c:pt idx="15">
                  <c:v>210</c:v>
                </c:pt>
                <c:pt idx="16">
                  <c:v>210</c:v>
                </c:pt>
                <c:pt idx="17">
                  <c:v>210</c:v>
                </c:pt>
                <c:pt idx="18">
                  <c:v>210</c:v>
                </c:pt>
                <c:pt idx="19">
                  <c:v>210</c:v>
                </c:pt>
                <c:pt idx="20">
                  <c:v>210</c:v>
                </c:pt>
                <c:pt idx="21">
                  <c:v>210</c:v>
                </c:pt>
                <c:pt idx="22">
                  <c:v>210</c:v>
                </c:pt>
                <c:pt idx="23">
                  <c:v>210</c:v>
                </c:pt>
                <c:pt idx="24">
                  <c:v>210</c:v>
                </c:pt>
                <c:pt idx="25">
                  <c:v>210</c:v>
                </c:pt>
                <c:pt idx="26">
                  <c:v>210</c:v>
                </c:pt>
                <c:pt idx="27">
                  <c:v>210</c:v>
                </c:pt>
                <c:pt idx="28">
                  <c:v>210</c:v>
                </c:pt>
                <c:pt idx="29">
                  <c:v>210</c:v>
                </c:pt>
                <c:pt idx="30">
                  <c:v>210</c:v>
                </c:pt>
                <c:pt idx="31">
                  <c:v>210</c:v>
                </c:pt>
                <c:pt idx="32">
                  <c:v>210</c:v>
                </c:pt>
                <c:pt idx="33">
                  <c:v>210</c:v>
                </c:pt>
                <c:pt idx="34">
                  <c:v>210</c:v>
                </c:pt>
                <c:pt idx="35">
                  <c:v>210</c:v>
                </c:pt>
                <c:pt idx="36">
                  <c:v>210</c:v>
                </c:pt>
                <c:pt idx="37">
                  <c:v>210</c:v>
                </c:pt>
                <c:pt idx="38">
                  <c:v>210</c:v>
                </c:pt>
                <c:pt idx="39">
                  <c:v>210</c:v>
                </c:pt>
                <c:pt idx="40">
                  <c:v>210</c:v>
                </c:pt>
                <c:pt idx="41">
                  <c:v>210</c:v>
                </c:pt>
                <c:pt idx="42">
                  <c:v>210</c:v>
                </c:pt>
                <c:pt idx="43">
                  <c:v>210</c:v>
                </c:pt>
                <c:pt idx="44">
                  <c:v>210</c:v>
                </c:pt>
                <c:pt idx="45">
                  <c:v>210</c:v>
                </c:pt>
                <c:pt idx="46">
                  <c:v>210</c:v>
                </c:pt>
                <c:pt idx="47">
                  <c:v>210</c:v>
                </c:pt>
                <c:pt idx="48">
                  <c:v>210</c:v>
                </c:pt>
                <c:pt idx="49">
                  <c:v>210</c:v>
                </c:pt>
                <c:pt idx="50" formatCode="0">
                  <c:v>210</c:v>
                </c:pt>
                <c:pt idx="51" formatCode="0">
                  <c:v>210</c:v>
                </c:pt>
                <c:pt idx="52" formatCode="0">
                  <c:v>210</c:v>
                </c:pt>
                <c:pt idx="53" formatCode="0">
                  <c:v>210</c:v>
                </c:pt>
                <c:pt idx="54" formatCode="0">
                  <c:v>210</c:v>
                </c:pt>
                <c:pt idx="55" formatCode="0">
                  <c:v>210</c:v>
                </c:pt>
                <c:pt idx="56" formatCode="0">
                  <c:v>210</c:v>
                </c:pt>
                <c:pt idx="57" formatCode="0">
                  <c:v>210</c:v>
                </c:pt>
                <c:pt idx="58" formatCode="0">
                  <c:v>210</c:v>
                </c:pt>
                <c:pt idx="59" formatCode="0">
                  <c:v>210</c:v>
                </c:pt>
                <c:pt idx="60" formatCode="0">
                  <c:v>210</c:v>
                </c:pt>
                <c:pt idx="61" formatCode="0">
                  <c:v>210</c:v>
                </c:pt>
                <c:pt idx="62" formatCode="0">
                  <c:v>210</c:v>
                </c:pt>
                <c:pt idx="63" formatCode="0">
                  <c:v>210</c:v>
                </c:pt>
                <c:pt idx="64" formatCode="0">
                  <c:v>178.3</c:v>
                </c:pt>
                <c:pt idx="65" formatCode="0">
                  <c:v>133.77945205479452</c:v>
                </c:pt>
                <c:pt idx="66" formatCode="0">
                  <c:v>89.258904109589039</c:v>
                </c:pt>
                <c:pt idx="67" formatCode="0">
                  <c:v>44.738356164384015</c:v>
                </c:pt>
                <c:pt idx="68" formatCode="0">
                  <c:v>40.286301369863018</c:v>
                </c:pt>
                <c:pt idx="69" formatCode="0">
                  <c:v>35.834246575342469</c:v>
                </c:pt>
                <c:pt idx="70" formatCode="0">
                  <c:v>31.382191780821913</c:v>
                </c:pt>
                <c:pt idx="71" formatCode="0">
                  <c:v>26.930136986301374</c:v>
                </c:pt>
                <c:pt idx="72" formatCode="0">
                  <c:v>22.478082191780825</c:v>
                </c:pt>
                <c:pt idx="73" formatCode="0">
                  <c:v>18.026027397260272</c:v>
                </c:pt>
                <c:pt idx="74" formatCode="0">
                  <c:v>13.573972602739724</c:v>
                </c:pt>
                <c:pt idx="75" formatCode="0.0">
                  <c:v>9.1219178082191785</c:v>
                </c:pt>
                <c:pt idx="76" formatCode="0.0">
                  <c:v>4.6698630136986301</c:v>
                </c:pt>
                <c:pt idx="77" formatCode="0.0">
                  <c:v>4.2246575342465755</c:v>
                </c:pt>
                <c:pt idx="78" formatCode="0.0">
                  <c:v>3.779452054794521</c:v>
                </c:pt>
                <c:pt idx="79" formatCode="0.0">
                  <c:v>3.3342465753424655</c:v>
                </c:pt>
                <c:pt idx="80" formatCode="0.0">
                  <c:v>2.8890410958904105</c:v>
                </c:pt>
                <c:pt idx="81" formatCode="0.0">
                  <c:v>2.4438356164383563</c:v>
                </c:pt>
                <c:pt idx="82" formatCode="0.0">
                  <c:v>1.9986301369863013</c:v>
                </c:pt>
                <c:pt idx="83" formatCode="0.0">
                  <c:v>1.5534246575342465</c:v>
                </c:pt>
                <c:pt idx="84" formatCode="0.00">
                  <c:v>1.1082191780821917</c:v>
                </c:pt>
                <c:pt idx="85" formatCode="0.00">
                  <c:v>0.66301369863013704</c:v>
                </c:pt>
                <c:pt idx="86" formatCode="0.00">
                  <c:v>0.61849315068493149</c:v>
                </c:pt>
                <c:pt idx="87" formatCode="0.00">
                  <c:v>0.57397260273972595</c:v>
                </c:pt>
                <c:pt idx="88" formatCode="0.00">
                  <c:v>0.52945205479452051</c:v>
                </c:pt>
                <c:pt idx="89" formatCode="0.00">
                  <c:v>0.48493150684931502</c:v>
                </c:pt>
                <c:pt idx="90" formatCode="0.00">
                  <c:v>0.44041095890410958</c:v>
                </c:pt>
                <c:pt idx="91" formatCode="0.00">
                  <c:v>0.39589041095890409</c:v>
                </c:pt>
                <c:pt idx="92" formatCode="0.00">
                  <c:v>0.3513698630136986</c:v>
                </c:pt>
                <c:pt idx="93" formatCode="0.00">
                  <c:v>0.30684931506849311</c:v>
                </c:pt>
                <c:pt idx="94" formatCode="0.00">
                  <c:v>0.26232876712328762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680-4341-AFC6-33A87340E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702063"/>
        <c:axId val="101702895"/>
      </c:scatterChart>
      <c:valAx>
        <c:axId val="101702063"/>
        <c:scaling>
          <c:logBase val="10"/>
          <c:orientation val="maxMin"/>
          <c:max val="100000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>
                    <a:solidFill>
                      <a:sysClr val="windowText" lastClr="000000"/>
                    </a:solidFill>
                  </a:rPr>
                  <a:t>PCE Soil Concentration</a:t>
                </a:r>
                <a:r>
                  <a:rPr lang="en-US" sz="1600" b="1" baseline="0">
                    <a:solidFill>
                      <a:sysClr val="windowText" lastClr="000000"/>
                    </a:solidFill>
                  </a:rPr>
                  <a:t> (mg/kg)</a:t>
                </a:r>
                <a:endParaRPr lang="en-US" sz="1600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85000"/>
                <a:lumOff val="1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02895"/>
        <c:crosses val="autoZero"/>
        <c:crossBetween val="midCat"/>
      </c:valAx>
      <c:valAx>
        <c:axId val="101702895"/>
        <c:scaling>
          <c:orientation val="minMax"/>
          <c:max val="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>
                    <a:solidFill>
                      <a:sysClr val="windowText" lastClr="000000"/>
                    </a:solidFill>
                  </a:rPr>
                  <a:t>PCE Groundwater</a:t>
                </a:r>
                <a:r>
                  <a:rPr lang="en-US" sz="1600" b="1" baseline="0">
                    <a:solidFill>
                      <a:sysClr val="windowText" lastClr="000000"/>
                    </a:solidFill>
                  </a:rPr>
                  <a:t> </a:t>
                </a:r>
                <a:r>
                  <a:rPr lang="en-US" sz="1600" b="1">
                    <a:solidFill>
                      <a:sysClr val="windowText" lastClr="000000"/>
                    </a:solidFill>
                  </a:rPr>
                  <a:t>Concentration</a:t>
                </a:r>
                <a:r>
                  <a:rPr lang="en-US" sz="1600" b="1" baseline="0">
                    <a:solidFill>
                      <a:sysClr val="windowText" lastClr="000000"/>
                    </a:solidFill>
                  </a:rPr>
                  <a:t> (mg/L)</a:t>
                </a:r>
                <a:endParaRPr lang="en-US" sz="1600" b="1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2.9585507190574276E-3"/>
              <c:y val="0.316767782815026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02063"/>
        <c:crosses val="max"/>
        <c:crossBetween val="midCat"/>
        <c:majorUnit val="25"/>
        <c:minorUnit val="5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'Csat-Calc'!$AB$2:$AB$13</c:f>
              <c:strCache>
                <c:ptCount val="12"/>
                <c:pt idx="0">
                  <c:v>0.35</c:v>
                </c:pt>
                <c:pt idx="1">
                  <c:v>1.05</c:v>
                </c:pt>
                <c:pt idx="2">
                  <c:v>1.75</c:v>
                </c:pt>
                <c:pt idx="3">
                  <c:v>3.15</c:v>
                </c:pt>
                <c:pt idx="4">
                  <c:v>3.85</c:v>
                </c:pt>
                <c:pt idx="5">
                  <c:v>0.7</c:v>
                </c:pt>
                <c:pt idx="6">
                  <c:v>1.4</c:v>
                </c:pt>
                <c:pt idx="7">
                  <c:v>2.1</c:v>
                </c:pt>
                <c:pt idx="8">
                  <c:v>2.45</c:v>
                </c:pt>
                <c:pt idx="9">
                  <c:v>2.8</c:v>
                </c:pt>
                <c:pt idx="10">
                  <c:v>3.5</c:v>
                </c:pt>
                <c:pt idx="11">
                  <c:v>More</c:v>
                </c:pt>
              </c:strCache>
            </c:strRef>
          </c:cat>
          <c:val>
            <c:numRef>
              <c:f>'Csat-Calc'!$AC$2:$AC$13</c:f>
              <c:numCache>
                <c:formatCode>General</c:formatCode>
                <c:ptCount val="12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D4-49EC-ACCA-2E49AB4C55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2505551"/>
        <c:axId val="1002505967"/>
      </c:barChart>
      <c:lineChart>
        <c:grouping val="standard"/>
        <c:varyColors val="0"/>
        <c:ser>
          <c:idx val="1"/>
          <c:order val="1"/>
          <c:tx>
            <c:v>Cumulative %</c:v>
          </c:tx>
          <c:cat>
            <c:strRef>
              <c:f>'Csat-Calc'!$AB$2:$AB$13</c:f>
              <c:strCache>
                <c:ptCount val="12"/>
                <c:pt idx="0">
                  <c:v>0.35</c:v>
                </c:pt>
                <c:pt idx="1">
                  <c:v>1.05</c:v>
                </c:pt>
                <c:pt idx="2">
                  <c:v>1.75</c:v>
                </c:pt>
                <c:pt idx="3">
                  <c:v>3.15</c:v>
                </c:pt>
                <c:pt idx="4">
                  <c:v>3.85</c:v>
                </c:pt>
                <c:pt idx="5">
                  <c:v>0.7</c:v>
                </c:pt>
                <c:pt idx="6">
                  <c:v>1.4</c:v>
                </c:pt>
                <c:pt idx="7">
                  <c:v>2.1</c:v>
                </c:pt>
                <c:pt idx="8">
                  <c:v>2.45</c:v>
                </c:pt>
                <c:pt idx="9">
                  <c:v>2.8</c:v>
                </c:pt>
                <c:pt idx="10">
                  <c:v>3.5</c:v>
                </c:pt>
                <c:pt idx="11">
                  <c:v>More</c:v>
                </c:pt>
              </c:strCache>
            </c:strRef>
          </c:cat>
          <c:val>
            <c:numRef>
              <c:f>'Csat-Calc'!$AD$2:$AD$13</c:f>
              <c:numCache>
                <c:formatCode>0.00%</c:formatCode>
                <c:ptCount val="12"/>
                <c:pt idx="0">
                  <c:v>0.3</c:v>
                </c:pt>
                <c:pt idx="1">
                  <c:v>0.5</c:v>
                </c:pt>
                <c:pt idx="2">
                  <c:v>0.7</c:v>
                </c:pt>
                <c:pt idx="3">
                  <c:v>0.9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D4-49EC-ACCA-2E49AB4C55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5014479"/>
        <c:axId val="995017391"/>
      </c:lineChart>
      <c:catAx>
        <c:axId val="10025055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02505967"/>
        <c:crosses val="autoZero"/>
        <c:auto val="1"/>
        <c:lblAlgn val="ctr"/>
        <c:lblOffset val="100"/>
        <c:noMultiLvlLbl val="0"/>
      </c:catAx>
      <c:valAx>
        <c:axId val="100250596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02505551"/>
        <c:crosses val="autoZero"/>
        <c:crossBetween val="between"/>
      </c:valAx>
      <c:valAx>
        <c:axId val="995017391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995014479"/>
        <c:crosses val="max"/>
        <c:crossBetween val="between"/>
      </c:valAx>
      <c:catAx>
        <c:axId val="9950144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95017391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BBAA2DA-7960-4218-A2D6-159AE8ADB6AD}">
  <sheetPr/>
  <sheetViews>
    <sheetView zoomScale="12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443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298017-F67A-4DBC-B0D0-11FF47159AC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0.52968</cdr:x>
      <cdr:y>0.21951</cdr:y>
    </cdr:from>
    <cdr:to>
      <cdr:x>0.53072</cdr:x>
      <cdr:y>0.87896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E91B1821-3957-4A2D-A493-2AE491E565F2}"/>
            </a:ext>
          </a:extLst>
        </cdr:cNvPr>
        <cdr:cNvCxnSpPr/>
      </cdr:nvCxnSpPr>
      <cdr:spPr>
        <a:xfrm xmlns:a="http://schemas.openxmlformats.org/drawingml/2006/main">
          <a:off x="4591134" y="1379950"/>
          <a:ext cx="9014" cy="4145632"/>
        </a:xfrm>
        <a:prstGeom xmlns:a="http://schemas.openxmlformats.org/drawingml/2006/main" prst="line">
          <a:avLst/>
        </a:prstGeom>
        <a:ln xmlns:a="http://schemas.openxmlformats.org/drawingml/2006/main" w="25400">
          <a:prstDash val="sysDash"/>
        </a:ln>
      </cdr:spPr>
      <cdr:style>
        <a:lnRef xmlns:a="http://schemas.openxmlformats.org/drawingml/2006/main" idx="2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1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0.24438</cdr:x>
      <cdr:y>0.22133</cdr:y>
    </cdr:from>
    <cdr:to>
      <cdr:x>0.24644</cdr:x>
      <cdr:y>0.87752</cdr:y>
    </cdr:to>
    <cdr:cxnSp macro="">
      <cdr:nvCxnSpPr>
        <cdr:cNvPr id="7" name="Straight Connector 6">
          <a:extLst xmlns:a="http://schemas.openxmlformats.org/drawingml/2006/main">
            <a:ext uri="{FF2B5EF4-FFF2-40B4-BE49-F238E27FC236}">
              <a16:creationId xmlns:a16="http://schemas.microsoft.com/office/drawing/2014/main" id="{92483E78-E66C-4455-9A8C-2BBF3D6E9F4E}"/>
            </a:ext>
          </a:extLst>
        </cdr:cNvPr>
        <cdr:cNvCxnSpPr/>
      </cdr:nvCxnSpPr>
      <cdr:spPr>
        <a:xfrm xmlns:a="http://schemas.openxmlformats.org/drawingml/2006/main" flipH="1">
          <a:off x="2119313" y="1393371"/>
          <a:ext cx="17917" cy="4131129"/>
        </a:xfrm>
        <a:prstGeom xmlns:a="http://schemas.openxmlformats.org/drawingml/2006/main" prst="line">
          <a:avLst/>
        </a:prstGeom>
        <a:ln xmlns:a="http://schemas.openxmlformats.org/drawingml/2006/main" w="25400">
          <a:prstDash val="sysDash"/>
        </a:ln>
      </cdr:spPr>
      <cdr:style>
        <a:lnRef xmlns:a="http://schemas.openxmlformats.org/drawingml/2006/main" idx="2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1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0.44728</cdr:x>
      <cdr:y>0.42738</cdr:y>
    </cdr:from>
    <cdr:to>
      <cdr:x>0.55272</cdr:x>
      <cdr:y>0.57262</cdr:y>
    </cdr:to>
    <cdr:sp macro="" textlink="">
      <cdr:nvSpPr>
        <cdr:cNvPr id="10" name="TextBox 9">
          <a:extLst xmlns:a="http://schemas.openxmlformats.org/drawingml/2006/main">
            <a:ext uri="{FF2B5EF4-FFF2-40B4-BE49-F238E27FC236}">
              <a16:creationId xmlns:a16="http://schemas.microsoft.com/office/drawing/2014/main" id="{335237A0-7040-42E7-A0FE-4F8BD87ECD0F}"/>
            </a:ext>
          </a:extLst>
        </cdr:cNvPr>
        <cdr:cNvSpPr txBox="1"/>
      </cdr:nvSpPr>
      <cdr:spPr>
        <a:xfrm xmlns:a="http://schemas.openxmlformats.org/drawingml/2006/main">
          <a:off x="3878943" y="2690585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0.12761</cdr:x>
      <cdr:y>0.22478</cdr:y>
    </cdr:from>
    <cdr:to>
      <cdr:x>0.24268</cdr:x>
      <cdr:y>0.86888</cdr:y>
    </cdr:to>
    <cdr:sp macro="" textlink="">
      <cdr:nvSpPr>
        <cdr:cNvPr id="11" name="TextBox 10">
          <a:extLst xmlns:a="http://schemas.openxmlformats.org/drawingml/2006/main">
            <a:ext uri="{FF2B5EF4-FFF2-40B4-BE49-F238E27FC236}">
              <a16:creationId xmlns:a16="http://schemas.microsoft.com/office/drawing/2014/main" id="{CFAD7ABB-67A2-4EF4-ADBB-DFBF73A89DFE}"/>
            </a:ext>
          </a:extLst>
        </cdr:cNvPr>
        <cdr:cNvSpPr txBox="1"/>
      </cdr:nvSpPr>
      <cdr:spPr>
        <a:xfrm xmlns:a="http://schemas.openxmlformats.org/drawingml/2006/main">
          <a:off x="1106713" y="1415143"/>
          <a:ext cx="997857" cy="4054928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2">
            <a:lumMod val="75000"/>
            <a:alpha val="70000"/>
          </a:schemeClr>
        </a:solidFill>
      </cdr:spPr>
      <cdr:txBody>
        <a:bodyPr xmlns:a="http://schemas.openxmlformats.org/drawingml/2006/main" vertOverflow="clip" wrap="square" rtlCol="0" anchor="ctr" anchorCtr="1"/>
        <a:lstStyle xmlns:a="http://schemas.openxmlformats.org/drawingml/2006/main"/>
        <a:p xmlns:a="http://schemas.openxmlformats.org/drawingml/2006/main">
          <a:pPr algn="ctr"/>
          <a:r>
            <a:rPr lang="en-US" sz="1600" b="1">
              <a:solidFill>
                <a:schemeClr val="accent2">
                  <a:lumMod val="50000"/>
                </a:schemeClr>
              </a:solidFill>
            </a:rPr>
            <a:t>Mobile DNAPL</a:t>
          </a:r>
        </a:p>
        <a:p xmlns:a="http://schemas.openxmlformats.org/drawingml/2006/main">
          <a:pPr algn="ctr"/>
          <a:r>
            <a:rPr lang="en-US" sz="1600" b="1">
              <a:solidFill>
                <a:schemeClr val="accent2">
                  <a:lumMod val="50000"/>
                </a:schemeClr>
              </a:solidFill>
            </a:rPr>
            <a:t>(&gt;13,250 mg/kg)</a:t>
          </a:r>
        </a:p>
      </cdr:txBody>
    </cdr:sp>
  </cdr:relSizeAnchor>
  <cdr:relSizeAnchor xmlns:cdr="http://schemas.openxmlformats.org/drawingml/2006/chartDrawing">
    <cdr:from>
      <cdr:x>0.24809</cdr:x>
      <cdr:y>0.22504</cdr:y>
    </cdr:from>
    <cdr:to>
      <cdr:x>0.52387</cdr:x>
      <cdr:y>0.86913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CA13905B-7B12-436B-A15E-C35769E824B3}"/>
            </a:ext>
          </a:extLst>
        </cdr:cNvPr>
        <cdr:cNvSpPr txBox="1"/>
      </cdr:nvSpPr>
      <cdr:spPr>
        <a:xfrm xmlns:a="http://schemas.openxmlformats.org/drawingml/2006/main">
          <a:off x="3761986" y="2477893"/>
          <a:ext cx="4181863" cy="7092011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6">
            <a:lumMod val="60000"/>
            <a:lumOff val="40000"/>
            <a:alpha val="70000"/>
          </a:schemeClr>
        </a:solidFill>
      </cdr:spPr>
      <cdr:txBody>
        <a:bodyPr xmlns:a="http://schemas.openxmlformats.org/drawingml/2006/main" wrap="square" rtlCol="0" anchor="ctr" anchorCtr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en-US" sz="1800"/>
        </a:p>
        <a:p xmlns:a="http://schemas.openxmlformats.org/drawingml/2006/main">
          <a:pPr algn="ctr"/>
          <a:r>
            <a:rPr lang="en-US" sz="1600" b="1">
              <a:solidFill>
                <a:schemeClr val="accent2">
                  <a:lumMod val="50000"/>
                </a:schemeClr>
              </a:solidFill>
            </a:rPr>
            <a:t>Residual/Stable DNAPL</a:t>
          </a:r>
        </a:p>
        <a:p xmlns:a="http://schemas.openxmlformats.org/drawingml/2006/main">
          <a:pPr algn="ctr"/>
          <a:r>
            <a:rPr lang="en-US" sz="1600" b="1">
              <a:solidFill>
                <a:schemeClr val="accent2">
                  <a:lumMod val="50000"/>
                </a:schemeClr>
              </a:solidFill>
            </a:rPr>
            <a:t>(&gt;110 to &lt;13,250 mg/kg)</a:t>
          </a:r>
        </a:p>
      </cdr:txBody>
    </cdr:sp>
  </cdr:relSizeAnchor>
  <cdr:relSizeAnchor xmlns:cdr="http://schemas.openxmlformats.org/drawingml/2006/chartDrawing">
    <cdr:from>
      <cdr:x>0.61971</cdr:x>
      <cdr:y>0.70934</cdr:y>
    </cdr:from>
    <cdr:to>
      <cdr:x>0.61997</cdr:x>
      <cdr:y>0.87302</cdr:y>
    </cdr:to>
    <cdr:cxnSp macro="">
      <cdr:nvCxnSpPr>
        <cdr:cNvPr id="15" name="Straight Connector 14">
          <a:extLst xmlns:a="http://schemas.openxmlformats.org/drawingml/2006/main">
            <a:ext uri="{FF2B5EF4-FFF2-40B4-BE49-F238E27FC236}">
              <a16:creationId xmlns:a16="http://schemas.microsoft.com/office/drawing/2014/main" id="{9A4B6F16-83C4-44DD-9AD8-3CF53D968BC2}"/>
            </a:ext>
          </a:extLst>
        </cdr:cNvPr>
        <cdr:cNvCxnSpPr/>
      </cdr:nvCxnSpPr>
      <cdr:spPr>
        <a:xfrm xmlns:a="http://schemas.openxmlformats.org/drawingml/2006/main" flipH="1">
          <a:off x="9397137" y="7810500"/>
          <a:ext cx="4038" cy="1802289"/>
        </a:xfrm>
        <a:prstGeom xmlns:a="http://schemas.openxmlformats.org/drawingml/2006/main" prst="line">
          <a:avLst/>
        </a:prstGeom>
        <a:ln xmlns:a="http://schemas.openxmlformats.org/drawingml/2006/main" w="25400">
          <a:prstDash val="sysDash"/>
        </a:ln>
      </cdr:spPr>
      <cdr:style>
        <a:lnRef xmlns:a="http://schemas.openxmlformats.org/drawingml/2006/main" idx="2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1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0.76125</cdr:x>
      <cdr:y>0.68098</cdr:y>
    </cdr:from>
    <cdr:to>
      <cdr:x>0.97799</cdr:x>
      <cdr:y>0.80076</cdr:y>
    </cdr:to>
    <cdr:sp macro="" textlink="">
      <cdr:nvSpPr>
        <cdr:cNvPr id="31" name="Callout: Bent Line 30">
          <a:extLst xmlns:a="http://schemas.openxmlformats.org/drawingml/2006/main">
            <a:ext uri="{FF2B5EF4-FFF2-40B4-BE49-F238E27FC236}">
              <a16:creationId xmlns:a16="http://schemas.microsoft.com/office/drawing/2014/main" id="{D7333BA0-FFAA-4B47-8124-D1E838F14239}"/>
            </a:ext>
          </a:extLst>
        </cdr:cNvPr>
        <cdr:cNvSpPr/>
      </cdr:nvSpPr>
      <cdr:spPr>
        <a:xfrm xmlns:a="http://schemas.openxmlformats.org/drawingml/2006/main">
          <a:off x="6598325" y="4286385"/>
          <a:ext cx="1878648" cy="753928"/>
        </a:xfrm>
        <a:prstGeom xmlns:a="http://schemas.openxmlformats.org/drawingml/2006/main" prst="borderCallout2">
          <a:avLst>
            <a:gd name="adj1" fmla="val 49919"/>
            <a:gd name="adj2" fmla="val 1345"/>
            <a:gd name="adj3" fmla="val 49919"/>
            <a:gd name="adj4" fmla="val -22044"/>
            <a:gd name="adj5" fmla="val 157524"/>
            <a:gd name="adj6" fmla="val -61672"/>
          </a:avLst>
        </a:prstGeom>
        <a:solidFill xmlns:a="http://schemas.openxmlformats.org/drawingml/2006/main">
          <a:srgbClr val="00B050"/>
        </a:solidFill>
        <a:ln xmlns:a="http://schemas.openxmlformats.org/drawingml/2006/main">
          <a:solidFill>
            <a:srgbClr val="00B05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ctr"/>
          <a:r>
            <a:rPr lang="en-US" sz="1400" b="1">
              <a:solidFill>
                <a:srgbClr val="FFFF00"/>
              </a:solidFill>
            </a:rPr>
            <a:t>Dissolved PCE (porefluids) &lt; 35</a:t>
          </a:r>
          <a:r>
            <a:rPr lang="en-US" sz="1400" b="1" baseline="0">
              <a:solidFill>
                <a:srgbClr val="FFFF00"/>
              </a:solidFill>
            </a:rPr>
            <a:t> mg/kg PCE</a:t>
          </a:r>
          <a:endParaRPr lang="en-US" sz="1400" b="1">
            <a:solidFill>
              <a:srgbClr val="FFFF00"/>
            </a:solidFill>
          </a:endParaRPr>
        </a:p>
      </cdr:txBody>
    </cdr:sp>
  </cdr:relSizeAnchor>
  <cdr:relSizeAnchor xmlns:cdr="http://schemas.openxmlformats.org/drawingml/2006/chartDrawing">
    <cdr:from>
      <cdr:x>0.30594</cdr:x>
      <cdr:y>0.09896</cdr:y>
    </cdr:from>
    <cdr:to>
      <cdr:x>0.49266</cdr:x>
      <cdr:y>0.20101</cdr:y>
    </cdr:to>
    <cdr:sp macro="" textlink="">
      <cdr:nvSpPr>
        <cdr:cNvPr id="25" name="Callout: Bent Line 24">
          <a:extLst xmlns:a="http://schemas.openxmlformats.org/drawingml/2006/main">
            <a:ext uri="{FF2B5EF4-FFF2-40B4-BE49-F238E27FC236}">
              <a16:creationId xmlns:a16="http://schemas.microsoft.com/office/drawing/2014/main" id="{84F2A2B0-23AA-4A7B-B5CD-B9CBE7A46A15}"/>
            </a:ext>
          </a:extLst>
        </cdr:cNvPr>
        <cdr:cNvSpPr/>
      </cdr:nvSpPr>
      <cdr:spPr>
        <a:xfrm xmlns:a="http://schemas.openxmlformats.org/drawingml/2006/main">
          <a:off x="2647621" y="620785"/>
          <a:ext cx="1615951" cy="640143"/>
        </a:xfrm>
        <a:prstGeom xmlns:a="http://schemas.openxmlformats.org/drawingml/2006/main" prst="borderCallout2">
          <a:avLst>
            <a:gd name="adj1" fmla="val 49861"/>
            <a:gd name="adj2" fmla="val 737"/>
            <a:gd name="adj3" fmla="val 51157"/>
            <a:gd name="adj4" fmla="val -13654"/>
            <a:gd name="adj5" fmla="val 159192"/>
            <a:gd name="adj6" fmla="val -30706"/>
          </a:avLst>
        </a:prstGeom>
        <a:solidFill xmlns:a="http://schemas.openxmlformats.org/drawingml/2006/main">
          <a:srgbClr val="00B050"/>
        </a:solidFill>
        <a:ln xmlns:a="http://schemas.openxmlformats.org/drawingml/2006/main">
          <a:solidFill>
            <a:srgbClr val="00B05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 baseline="0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13,250 mg/kg PCE</a:t>
          </a:r>
        </a:p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1" baseline="0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US" sz="1400" b="1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DNAPL S</a:t>
          </a:r>
          <a:r>
            <a:rPr lang="en-US" sz="1400" b="1" baseline="-25000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r </a:t>
          </a:r>
          <a:r>
            <a:rPr lang="en-US" sz="1400" b="1" baseline="0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= 0.05)</a:t>
          </a:r>
          <a:endParaRPr lang="en-US" sz="1400" b="1">
            <a:solidFill>
              <a:srgbClr val="FFFF00"/>
            </a:solidFill>
            <a:effectLst/>
          </a:endParaRPr>
        </a:p>
        <a:p xmlns:a="http://schemas.openxmlformats.org/drawingml/2006/main">
          <a:endParaRPr lang="en-US" sz="1400">
            <a:solidFill>
              <a:srgbClr val="FFFF00"/>
            </a:solidFill>
            <a:effectLst/>
          </a:endParaRPr>
        </a:p>
      </cdr:txBody>
    </cdr:sp>
  </cdr:relSizeAnchor>
  <cdr:relSizeAnchor xmlns:cdr="http://schemas.openxmlformats.org/drawingml/2006/chartDrawing">
    <cdr:from>
      <cdr:x>0.5335</cdr:x>
      <cdr:y>0.26759</cdr:y>
    </cdr:from>
    <cdr:to>
      <cdr:x>0.61642</cdr:x>
      <cdr:y>0.86967</cdr:y>
    </cdr:to>
    <cdr:sp macro="" textlink="">
      <cdr:nvSpPr>
        <cdr:cNvPr id="19" name="Freeform: Shape 18">
          <a:extLst xmlns:a="http://schemas.openxmlformats.org/drawingml/2006/main">
            <a:ext uri="{FF2B5EF4-FFF2-40B4-BE49-F238E27FC236}">
              <a16:creationId xmlns:a16="http://schemas.microsoft.com/office/drawing/2014/main" id="{80C759A7-06EB-4C3E-B8C6-2C6BB47731A9}"/>
            </a:ext>
          </a:extLst>
        </cdr:cNvPr>
        <cdr:cNvSpPr/>
      </cdr:nvSpPr>
      <cdr:spPr>
        <a:xfrm xmlns:a="http://schemas.openxmlformats.org/drawingml/2006/main">
          <a:off x="8089900" y="2946400"/>
          <a:ext cx="1257300" cy="6629400"/>
        </a:xfrm>
        <a:custGeom xmlns:a="http://schemas.openxmlformats.org/drawingml/2006/main">
          <a:avLst/>
          <a:gdLst>
            <a:gd name="connsiteX0" fmla="*/ 0 w 1257300"/>
            <a:gd name="connsiteY0" fmla="*/ 0 h 6502400"/>
            <a:gd name="connsiteX1" fmla="*/ 12700 w 1257300"/>
            <a:gd name="connsiteY1" fmla="*/ 6502400 h 6502400"/>
            <a:gd name="connsiteX2" fmla="*/ 1244600 w 1257300"/>
            <a:gd name="connsiteY2" fmla="*/ 6489700 h 6502400"/>
            <a:gd name="connsiteX3" fmla="*/ 1257300 w 1257300"/>
            <a:gd name="connsiteY3" fmla="*/ 4762500 h 6502400"/>
            <a:gd name="connsiteX4" fmla="*/ 1041400 w 1257300"/>
            <a:gd name="connsiteY4" fmla="*/ 4229100 h 6502400"/>
            <a:gd name="connsiteX5" fmla="*/ 825500 w 1257300"/>
            <a:gd name="connsiteY5" fmla="*/ 3695700 h 6502400"/>
            <a:gd name="connsiteX6" fmla="*/ 609600 w 1257300"/>
            <a:gd name="connsiteY6" fmla="*/ 2946400 h 6502400"/>
            <a:gd name="connsiteX7" fmla="*/ 381000 w 1257300"/>
            <a:gd name="connsiteY7" fmla="*/ 1816100 h 6502400"/>
            <a:gd name="connsiteX8" fmla="*/ 190500 w 1257300"/>
            <a:gd name="connsiteY8" fmla="*/ 889000 h 6502400"/>
            <a:gd name="connsiteX9" fmla="*/ 76200 w 1257300"/>
            <a:gd name="connsiteY9" fmla="*/ 190500 h 6502400"/>
            <a:gd name="connsiteX10" fmla="*/ 0 w 1257300"/>
            <a:gd name="connsiteY10" fmla="*/ 0 h 65024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</a:cxnLst>
          <a:rect l="l" t="t" r="r" b="b"/>
          <a:pathLst>
            <a:path w="1257300" h="6502400">
              <a:moveTo>
                <a:pt x="0" y="0"/>
              </a:moveTo>
              <a:cubicBezTo>
                <a:pt x="4233" y="2167467"/>
                <a:pt x="8467" y="4334933"/>
                <a:pt x="12700" y="6502400"/>
              </a:cubicBezTo>
              <a:lnTo>
                <a:pt x="1244600" y="6489700"/>
              </a:lnTo>
              <a:cubicBezTo>
                <a:pt x="1248833" y="5913967"/>
                <a:pt x="1253067" y="5338233"/>
                <a:pt x="1257300" y="4762500"/>
              </a:cubicBezTo>
              <a:lnTo>
                <a:pt x="1041400" y="4229100"/>
              </a:lnTo>
              <a:lnTo>
                <a:pt x="825500" y="3695700"/>
              </a:lnTo>
              <a:lnTo>
                <a:pt x="609600" y="2946400"/>
              </a:lnTo>
              <a:lnTo>
                <a:pt x="381000" y="1816100"/>
              </a:lnTo>
              <a:lnTo>
                <a:pt x="190500" y="889000"/>
              </a:lnTo>
              <a:lnTo>
                <a:pt x="76200" y="190500"/>
              </a:lnTo>
              <a:lnTo>
                <a:pt x="0" y="0"/>
              </a:lnTo>
              <a:close/>
            </a:path>
          </a:pathLst>
        </a:custGeom>
        <a:solidFill xmlns:a="http://schemas.openxmlformats.org/drawingml/2006/main">
          <a:srgbClr val="FFFF00">
            <a:alpha val="50000"/>
          </a:srgbClr>
        </a:solidFill>
        <a:ln xmlns:a="http://schemas.openxmlformats.org/drawingml/2006/main">
          <a:solidFill>
            <a:srgbClr val="FFFF00">
              <a:alpha val="50000"/>
            </a:srgbClr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0.61891</cdr:x>
      <cdr:y>0.4295</cdr:y>
    </cdr:from>
    <cdr:to>
      <cdr:x>0.86268</cdr:x>
      <cdr:y>0.53651</cdr:y>
    </cdr:to>
    <cdr:sp macro="" textlink="">
      <cdr:nvSpPr>
        <cdr:cNvPr id="27" name="Callout: Bent Line 26">
          <a:extLst xmlns:a="http://schemas.openxmlformats.org/drawingml/2006/main">
            <a:ext uri="{FF2B5EF4-FFF2-40B4-BE49-F238E27FC236}">
              <a16:creationId xmlns:a16="http://schemas.microsoft.com/office/drawing/2014/main" id="{CFDBBFD0-3114-4AD1-870C-50468B45EC2B}"/>
            </a:ext>
          </a:extLst>
        </cdr:cNvPr>
        <cdr:cNvSpPr/>
      </cdr:nvSpPr>
      <cdr:spPr>
        <a:xfrm xmlns:a="http://schemas.openxmlformats.org/drawingml/2006/main">
          <a:off x="5356159" y="2694215"/>
          <a:ext cx="2109627" cy="671286"/>
        </a:xfrm>
        <a:prstGeom xmlns:a="http://schemas.openxmlformats.org/drawingml/2006/main" prst="borderCallout2">
          <a:avLst>
            <a:gd name="adj1" fmla="val 49861"/>
            <a:gd name="adj2" fmla="val 737"/>
            <a:gd name="adj3" fmla="val 51157"/>
            <a:gd name="adj4" fmla="val -13654"/>
            <a:gd name="adj5" fmla="val 101952"/>
            <a:gd name="adj6" fmla="val -29889"/>
          </a:avLst>
        </a:prstGeom>
        <a:solidFill xmlns:a="http://schemas.openxmlformats.org/drawingml/2006/main">
          <a:srgbClr val="00B050"/>
        </a:solidFill>
        <a:ln xmlns:a="http://schemas.openxmlformats.org/drawingml/2006/main">
          <a:solidFill>
            <a:srgbClr val="00B05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 b="1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Sorb</a:t>
          </a:r>
          <a:r>
            <a:rPr lang="en-US" sz="1400" b="1" baseline="0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ed and Dissolved PCE </a:t>
          </a:r>
        </a:p>
        <a:p xmlns:a="http://schemas.openxmlformats.org/drawingml/2006/main">
          <a:pPr algn="ctr"/>
          <a:r>
            <a:rPr lang="en-US" sz="1400" b="1" baseline="0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&gt;35 to &lt;110 </a:t>
          </a:r>
          <a:r>
            <a:rPr lang="en-US" sz="1400" b="1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mg/kg</a:t>
          </a:r>
          <a:endParaRPr lang="en-US" sz="1400">
            <a:solidFill>
              <a:srgbClr val="FFFF00"/>
            </a:solidFill>
            <a:effectLst/>
          </a:endParaRPr>
        </a:p>
      </cdr:txBody>
    </cdr:sp>
  </cdr:relSizeAnchor>
  <cdr:relSizeAnchor xmlns:cdr="http://schemas.openxmlformats.org/drawingml/2006/chartDrawing">
    <cdr:from>
      <cdr:x>0.5559</cdr:x>
      <cdr:y>0.38955</cdr:y>
    </cdr:from>
    <cdr:to>
      <cdr:x>0.55653</cdr:x>
      <cdr:y>0.8783</cdr:y>
    </cdr:to>
    <cdr:cxnSp macro="">
      <cdr:nvCxnSpPr>
        <cdr:cNvPr id="16" name="Straight Connector 15">
          <a:extLst xmlns:a="http://schemas.openxmlformats.org/drawingml/2006/main">
            <a:ext uri="{FF2B5EF4-FFF2-40B4-BE49-F238E27FC236}">
              <a16:creationId xmlns:a16="http://schemas.microsoft.com/office/drawing/2014/main" id="{1E183BFB-365D-46D7-AA4C-E30090351ACC}"/>
            </a:ext>
          </a:extLst>
        </cdr:cNvPr>
        <cdr:cNvCxnSpPr/>
      </cdr:nvCxnSpPr>
      <cdr:spPr>
        <a:xfrm xmlns:a="http://schemas.openxmlformats.org/drawingml/2006/main">
          <a:off x="4810838" y="2443577"/>
          <a:ext cx="5452" cy="3065876"/>
        </a:xfrm>
        <a:prstGeom xmlns:a="http://schemas.openxmlformats.org/drawingml/2006/main" prst="line">
          <a:avLst/>
        </a:prstGeom>
        <a:ln xmlns:a="http://schemas.openxmlformats.org/drawingml/2006/main" w="25400">
          <a:solidFill>
            <a:srgbClr val="C00000"/>
          </a:solidFill>
          <a:prstDash val="sysDash"/>
        </a:ln>
      </cdr:spPr>
      <cdr:style>
        <a:lnRef xmlns:a="http://schemas.openxmlformats.org/drawingml/2006/main" idx="2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1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0.63487</cdr:x>
      <cdr:y>0.59103</cdr:y>
    </cdr:from>
    <cdr:to>
      <cdr:x>0.84382</cdr:x>
      <cdr:y>0.65365</cdr:y>
    </cdr:to>
    <cdr:sp macro="" textlink="">
      <cdr:nvSpPr>
        <cdr:cNvPr id="17" name="Callout: Bent Line 16">
          <a:extLst xmlns:a="http://schemas.openxmlformats.org/drawingml/2006/main">
            <a:ext uri="{FF2B5EF4-FFF2-40B4-BE49-F238E27FC236}">
              <a16:creationId xmlns:a16="http://schemas.microsoft.com/office/drawing/2014/main" id="{B350C5B5-E44E-4BD4-9A09-47350AB058E9}"/>
            </a:ext>
          </a:extLst>
        </cdr:cNvPr>
        <cdr:cNvSpPr/>
      </cdr:nvSpPr>
      <cdr:spPr>
        <a:xfrm xmlns:a="http://schemas.openxmlformats.org/drawingml/2006/main">
          <a:off x="5494246" y="3707476"/>
          <a:ext cx="1808253" cy="392810"/>
        </a:xfrm>
        <a:prstGeom xmlns:a="http://schemas.openxmlformats.org/drawingml/2006/main" prst="borderCallout2">
          <a:avLst>
            <a:gd name="adj1" fmla="val 49861"/>
            <a:gd name="adj2" fmla="val 737"/>
            <a:gd name="adj3" fmla="val 51157"/>
            <a:gd name="adj4" fmla="val -13654"/>
            <a:gd name="adj5" fmla="val 175493"/>
            <a:gd name="adj6" fmla="val -35853"/>
          </a:avLst>
        </a:prstGeom>
        <a:solidFill xmlns:a="http://schemas.openxmlformats.org/drawingml/2006/main">
          <a:srgbClr val="FF0000"/>
        </a:solidFill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MDEQ </a:t>
          </a:r>
          <a:r>
            <a:rPr lang="en-US" sz="1400" b="1" baseline="0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88 </a:t>
          </a:r>
          <a:r>
            <a:rPr lang="en-US" sz="1400" b="1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mg/kg PCE</a:t>
          </a:r>
          <a:endParaRPr lang="en-US" sz="1400">
            <a:solidFill>
              <a:srgbClr val="FFFF00"/>
            </a:solidFill>
            <a:effectLst/>
          </a:endParaRPr>
        </a:p>
      </cdr:txBody>
    </cdr:sp>
  </cdr:relSizeAnchor>
  <cdr:relSizeAnchor xmlns:cdr="http://schemas.openxmlformats.org/drawingml/2006/chartDrawing">
    <cdr:from>
      <cdr:x>0.625</cdr:x>
      <cdr:y>0.72989</cdr:y>
    </cdr:from>
    <cdr:to>
      <cdr:x>0.77104</cdr:x>
      <cdr:y>0.87587</cdr:y>
    </cdr:to>
    <cdr:sp macro="" textlink="">
      <cdr:nvSpPr>
        <cdr:cNvPr id="21" name="Freeform: Shape 20">
          <a:extLst xmlns:a="http://schemas.openxmlformats.org/drawingml/2006/main">
            <a:ext uri="{FF2B5EF4-FFF2-40B4-BE49-F238E27FC236}">
              <a16:creationId xmlns:a16="http://schemas.microsoft.com/office/drawing/2014/main" id="{00384B0C-2DD1-405A-8D04-73F6CC83B9CF}"/>
            </a:ext>
          </a:extLst>
        </cdr:cNvPr>
        <cdr:cNvSpPr/>
      </cdr:nvSpPr>
      <cdr:spPr>
        <a:xfrm xmlns:a="http://schemas.openxmlformats.org/drawingml/2006/main">
          <a:off x="9477375" y="8036719"/>
          <a:ext cx="2214562" cy="1607343"/>
        </a:xfrm>
        <a:custGeom xmlns:a="http://schemas.openxmlformats.org/drawingml/2006/main">
          <a:avLst/>
          <a:gdLst>
            <a:gd name="connsiteX0" fmla="*/ 0 w 2214562"/>
            <a:gd name="connsiteY0" fmla="*/ 0 h 1607343"/>
            <a:gd name="connsiteX1" fmla="*/ 23812 w 2214562"/>
            <a:gd name="connsiteY1" fmla="*/ 1524000 h 1607343"/>
            <a:gd name="connsiteX2" fmla="*/ 2214562 w 2214562"/>
            <a:gd name="connsiteY2" fmla="*/ 1607343 h 1607343"/>
            <a:gd name="connsiteX3" fmla="*/ 1559719 w 2214562"/>
            <a:gd name="connsiteY3" fmla="*/ 1452562 h 1607343"/>
            <a:gd name="connsiteX4" fmla="*/ 892969 w 2214562"/>
            <a:gd name="connsiteY4" fmla="*/ 1143000 h 1607343"/>
            <a:gd name="connsiteX5" fmla="*/ 178594 w 2214562"/>
            <a:gd name="connsiteY5" fmla="*/ 369093 h 1607343"/>
            <a:gd name="connsiteX6" fmla="*/ 0 w 2214562"/>
            <a:gd name="connsiteY6" fmla="*/ 0 h 160734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2214562" h="1607343">
              <a:moveTo>
                <a:pt x="0" y="0"/>
              </a:moveTo>
              <a:lnTo>
                <a:pt x="23812" y="1524000"/>
              </a:lnTo>
              <a:lnTo>
                <a:pt x="2214562" y="1607343"/>
              </a:lnTo>
              <a:lnTo>
                <a:pt x="1559719" y="1452562"/>
              </a:lnTo>
              <a:lnTo>
                <a:pt x="892969" y="1143000"/>
              </a:lnTo>
              <a:lnTo>
                <a:pt x="178594" y="369093"/>
              </a:lnTo>
              <a:lnTo>
                <a:pt x="0" y="0"/>
              </a:lnTo>
              <a:close/>
            </a:path>
          </a:pathLst>
        </a:custGeom>
        <a:solidFill xmlns:a="http://schemas.openxmlformats.org/drawingml/2006/main">
          <a:srgbClr val="92D050">
            <a:alpha val="50000"/>
          </a:srgbClr>
        </a:solidFill>
        <a:ln xmlns:a="http://schemas.openxmlformats.org/drawingml/2006/main">
          <a:solidFill>
            <a:srgbClr val="92D050">
              <a:alpha val="50000"/>
            </a:srgbClr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0.76625</cdr:x>
      <cdr:y>0.1128</cdr:y>
    </cdr:from>
    <cdr:to>
      <cdr:x>0.96525</cdr:x>
      <cdr:y>0.26898</cdr:y>
    </cdr:to>
    <cdr:sp macro="" textlink="">
      <cdr:nvSpPr>
        <cdr:cNvPr id="22" name="TextBox 21">
          <a:extLst xmlns:a="http://schemas.openxmlformats.org/drawingml/2006/main">
            <a:ext uri="{FF2B5EF4-FFF2-40B4-BE49-F238E27FC236}">
              <a16:creationId xmlns:a16="http://schemas.microsoft.com/office/drawing/2014/main" id="{95F35243-382F-4397-840E-F8D9DD4B0DFF}"/>
            </a:ext>
          </a:extLst>
        </cdr:cNvPr>
        <cdr:cNvSpPr txBox="1"/>
      </cdr:nvSpPr>
      <cdr:spPr>
        <a:xfrm xmlns:a="http://schemas.openxmlformats.org/drawingml/2006/main">
          <a:off x="6631215" y="707578"/>
          <a:ext cx="1722216" cy="979707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600" b="1" u="sng"/>
            <a:t>Assume</a:t>
          </a:r>
          <a:r>
            <a:rPr lang="en-US" sz="1600" b="1"/>
            <a:t> </a:t>
          </a:r>
        </a:p>
        <a:p xmlns:a="http://schemas.openxmlformats.org/drawingml/2006/main">
          <a:r>
            <a:rPr lang="en-US" sz="1600" b="1"/>
            <a:t>Density 1.84 kg/L</a:t>
          </a:r>
        </a:p>
        <a:p xmlns:a="http://schemas.openxmlformats.org/drawingml/2006/main">
          <a:r>
            <a:rPr lang="en-US" sz="1600" b="1"/>
            <a:t>fOC = 0.002</a:t>
          </a:r>
        </a:p>
      </cdr:txBody>
    </cdr:sp>
  </cdr:relSizeAnchor>
  <cdr:relSizeAnchor xmlns:cdr="http://schemas.openxmlformats.org/drawingml/2006/chartDrawing">
    <cdr:from>
      <cdr:x>0.73085</cdr:x>
      <cdr:y>0.805</cdr:y>
    </cdr:from>
    <cdr:to>
      <cdr:x>0.87674</cdr:x>
      <cdr:y>0.85407</cdr:y>
    </cdr:to>
    <cdr:sp macro="" textlink="">
      <cdr:nvSpPr>
        <cdr:cNvPr id="28" name="Callout: Bent Line 27">
          <a:extLst xmlns:a="http://schemas.openxmlformats.org/drawingml/2006/main">
            <a:ext uri="{FF2B5EF4-FFF2-40B4-BE49-F238E27FC236}">
              <a16:creationId xmlns:a16="http://schemas.microsoft.com/office/drawing/2014/main" id="{64F0F89C-125A-47A9-85A3-D094A33072B0}"/>
            </a:ext>
          </a:extLst>
        </cdr:cNvPr>
        <cdr:cNvSpPr/>
      </cdr:nvSpPr>
      <cdr:spPr>
        <a:xfrm xmlns:a="http://schemas.openxmlformats.org/drawingml/2006/main">
          <a:off x="6334830" y="5067031"/>
          <a:ext cx="1264538" cy="308868"/>
        </a:xfrm>
        <a:prstGeom xmlns:a="http://schemas.openxmlformats.org/drawingml/2006/main" prst="borderCallout2">
          <a:avLst>
            <a:gd name="adj1" fmla="val 50329"/>
            <a:gd name="adj2" fmla="val 103295"/>
            <a:gd name="adj3" fmla="val 68751"/>
            <a:gd name="adj4" fmla="val 130143"/>
            <a:gd name="adj5" fmla="val 138222"/>
            <a:gd name="adj6" fmla="val 145195"/>
          </a:avLst>
        </a:prstGeom>
        <a:solidFill xmlns:a="http://schemas.openxmlformats.org/drawingml/2006/main">
          <a:srgbClr val="00B050"/>
        </a:solidFill>
        <a:ln xmlns:a="http://schemas.openxmlformats.org/drawingml/2006/main">
          <a:solidFill>
            <a:srgbClr val="00B05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ctr"/>
          <a:r>
            <a:rPr lang="en-US" sz="1400" b="1">
              <a:solidFill>
                <a:srgbClr val="FFFF00"/>
              </a:solidFill>
            </a:rPr>
            <a:t>EPA 1% Rule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21771</xdr:colOff>
      <xdr:row>0</xdr:row>
      <xdr:rowOff>0</xdr:rowOff>
    </xdr:from>
    <xdr:to>
      <xdr:col>8</xdr:col>
      <xdr:colOff>56998</xdr:colOff>
      <xdr:row>20</xdr:row>
      <xdr:rowOff>75837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68CF605-546A-483D-9526-ADCB8BFC68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71" y="0"/>
          <a:ext cx="5785605" cy="3346994"/>
        </a:xfrm>
        <a:prstGeom prst="rect">
          <a:avLst/>
        </a:prstGeom>
      </xdr:spPr>
    </xdr:pic>
    <xdr:clientData/>
  </xdr:twoCellAnchor>
  <xdr:oneCellAnchor>
    <xdr:from>
      <xdr:col>2</xdr:col>
      <xdr:colOff>27214</xdr:colOff>
      <xdr:row>5</xdr:row>
      <xdr:rowOff>65316</xdr:rowOff>
    </xdr:from>
    <xdr:ext cx="244928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B423989-3855-4532-9607-3B55A84F3167}"/>
            </a:ext>
          </a:extLst>
        </xdr:cNvPr>
        <xdr:cNvSpPr txBox="1"/>
      </xdr:nvSpPr>
      <xdr:spPr>
        <a:xfrm>
          <a:off x="1828800" y="881745"/>
          <a:ext cx="2449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>
              <a:solidFill>
                <a:srgbClr val="FF0000"/>
              </a:solidFill>
            </a:rPr>
            <a:t>0</a:t>
          </a:r>
        </a:p>
      </xdr:txBody>
    </xdr:sp>
    <xdr:clientData/>
  </xdr:oneCellAnchor>
  <xdr:oneCellAnchor>
    <xdr:from>
      <xdr:col>0</xdr:col>
      <xdr:colOff>195943</xdr:colOff>
      <xdr:row>7</xdr:row>
      <xdr:rowOff>97972</xdr:rowOff>
    </xdr:from>
    <xdr:ext cx="2435795" cy="1297919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A9F5FA2-1520-4DA2-B77B-BB4C6101C88A}"/>
            </a:ext>
          </a:extLst>
        </xdr:cNvPr>
        <xdr:cNvSpPr txBox="1"/>
      </xdr:nvSpPr>
      <xdr:spPr>
        <a:xfrm>
          <a:off x="195943" y="1240972"/>
          <a:ext cx="2435795" cy="12979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rgbClr val="FF0000"/>
              </a:solidFill>
            </a:rPr>
            <a:t>Assume:</a:t>
          </a:r>
          <a:r>
            <a:rPr lang="en-US" sz="1100" b="1" baseline="0">
              <a:solidFill>
                <a:srgbClr val="FF0000"/>
              </a:solidFill>
            </a:rPr>
            <a:t> </a:t>
          </a:r>
        </a:p>
        <a:p>
          <a:r>
            <a:rPr lang="en-US" sz="1100" b="1" baseline="0">
              <a:solidFill>
                <a:srgbClr val="FF0000"/>
              </a:solidFill>
            </a:rPr>
            <a:t>1. Total DNAPL Saturation.</a:t>
          </a:r>
        </a:p>
        <a:p>
          <a:r>
            <a:rPr lang="en-US" sz="1100" b="1" baseline="0">
              <a:solidFill>
                <a:srgbClr val="FF0000"/>
              </a:solidFill>
            </a:rPr>
            <a:t>2. Separate Phase PCE only</a:t>
          </a:r>
        </a:p>
        <a:p>
          <a:r>
            <a:rPr lang="en-US" sz="1100" b="1" baseline="0">
              <a:solidFill>
                <a:srgbClr val="FF0000"/>
              </a:solidFill>
            </a:rPr>
            <a:t>3. Saturated zone only</a:t>
          </a:r>
        </a:p>
        <a:p>
          <a:r>
            <a:rPr lang="en-US" sz="1100" b="1" baseline="0">
              <a:solidFill>
                <a:srgbClr val="FF0000"/>
              </a:solidFill>
            </a:rPr>
            <a:t>4. fOC log-normal use geometric mean</a:t>
          </a:r>
        </a:p>
        <a:p>
          <a:r>
            <a:rPr lang="en-US" sz="1100" b="1" baseline="0">
              <a:solidFill>
                <a:srgbClr val="FF0000"/>
              </a:solidFill>
            </a:rPr>
            <a:t>5. Use geomtric mean for bulk density</a:t>
          </a:r>
        </a:p>
        <a:p>
          <a:r>
            <a:rPr lang="en-US" sz="1100" b="1" baseline="0">
              <a:solidFill>
                <a:srgbClr val="FF0000"/>
              </a:solidFill>
            </a:rPr>
            <a:t>     for consistency. </a:t>
          </a:r>
        </a:p>
      </xdr:txBody>
    </xdr:sp>
    <xdr:clientData/>
  </xdr:oneCellAnchor>
  <xdr:twoCellAnchor>
    <xdr:from>
      <xdr:col>1</xdr:col>
      <xdr:colOff>413657</xdr:colOff>
      <xdr:row>1</xdr:row>
      <xdr:rowOff>65315</xdr:rowOff>
    </xdr:from>
    <xdr:to>
      <xdr:col>2</xdr:col>
      <xdr:colOff>130628</xdr:colOff>
      <xdr:row>5</xdr:row>
      <xdr:rowOff>97972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322BEBC6-D3D5-4130-9D4D-942337DA10E9}"/>
            </a:ext>
          </a:extLst>
        </xdr:cNvPr>
        <xdr:cNvCxnSpPr/>
      </xdr:nvCxnSpPr>
      <xdr:spPr>
        <a:xfrm>
          <a:off x="1567543" y="228601"/>
          <a:ext cx="364671" cy="68580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152401</xdr:colOff>
      <xdr:row>1</xdr:row>
      <xdr:rowOff>65316</xdr:rowOff>
    </xdr:from>
    <xdr:to>
      <xdr:col>1</xdr:col>
      <xdr:colOff>517072</xdr:colOff>
      <xdr:row>5</xdr:row>
      <xdr:rowOff>97973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6769608C-1D55-4D51-A02C-9D759D8105A3}"/>
            </a:ext>
          </a:extLst>
        </xdr:cNvPr>
        <xdr:cNvCxnSpPr/>
      </xdr:nvCxnSpPr>
      <xdr:spPr>
        <a:xfrm>
          <a:off x="1306287" y="228602"/>
          <a:ext cx="364671" cy="68580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419102</xdr:colOff>
      <xdr:row>5</xdr:row>
      <xdr:rowOff>65316</xdr:rowOff>
    </xdr:from>
    <xdr:ext cx="244928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7B585F5D-6515-471C-9A40-3310365A1932}"/>
            </a:ext>
          </a:extLst>
        </xdr:cNvPr>
        <xdr:cNvSpPr txBox="1"/>
      </xdr:nvSpPr>
      <xdr:spPr>
        <a:xfrm>
          <a:off x="1572988" y="881745"/>
          <a:ext cx="2449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>
              <a:solidFill>
                <a:srgbClr val="FF0000"/>
              </a:solidFill>
            </a:rPr>
            <a:t>0</a:t>
          </a:r>
        </a:p>
      </xdr:txBody>
    </xdr:sp>
    <xdr:clientData/>
  </xdr:oneCellAnchor>
  <xdr:twoCellAnchor>
    <xdr:from>
      <xdr:col>31</xdr:col>
      <xdr:colOff>212271</xdr:colOff>
      <xdr:row>0</xdr:row>
      <xdr:rowOff>157843</xdr:rowOff>
    </xdr:from>
    <xdr:to>
      <xdr:col>37</xdr:col>
      <xdr:colOff>212271</xdr:colOff>
      <xdr:row>10</xdr:row>
      <xdr:rowOff>157843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E1D66279-DB59-4536-A496-107F3B596D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5443</xdr:colOff>
      <xdr:row>22</xdr:row>
      <xdr:rowOff>10884</xdr:rowOff>
    </xdr:from>
    <xdr:to>
      <xdr:col>25</xdr:col>
      <xdr:colOff>398225</xdr:colOff>
      <xdr:row>31</xdr:row>
      <xdr:rowOff>333386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CC5A041-82D9-4F92-A512-59F6B9907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1529" y="3635827"/>
          <a:ext cx="6763646" cy="32983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615043</xdr:colOff>
      <xdr:row>22</xdr:row>
      <xdr:rowOff>272143</xdr:rowOff>
    </xdr:from>
    <xdr:to>
      <xdr:col>14</xdr:col>
      <xdr:colOff>5443</xdr:colOff>
      <xdr:row>23</xdr:row>
      <xdr:rowOff>473529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308213E3-B2B0-4EB4-8DD9-74D012DCA519}"/>
            </a:ext>
          </a:extLst>
        </xdr:cNvPr>
        <xdr:cNvCxnSpPr/>
      </xdr:nvCxnSpPr>
      <xdr:spPr>
        <a:xfrm flipH="1" flipV="1">
          <a:off x="6602186" y="3897086"/>
          <a:ext cx="1251857" cy="522514"/>
        </a:xfrm>
        <a:prstGeom prst="straightConnector1">
          <a:avLst/>
        </a:prstGeom>
        <a:ln w="317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310243</xdr:colOff>
      <xdr:row>14</xdr:row>
      <xdr:rowOff>43543</xdr:rowOff>
    </xdr:from>
    <xdr:to>
      <xdr:col>6</xdr:col>
      <xdr:colOff>163286</xdr:colOff>
      <xdr:row>22</xdr:row>
      <xdr:rowOff>125186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8950E161-F074-495B-91FB-71620A7396E4}"/>
            </a:ext>
          </a:extLst>
        </xdr:cNvPr>
        <xdr:cNvCxnSpPr/>
      </xdr:nvCxnSpPr>
      <xdr:spPr>
        <a:xfrm>
          <a:off x="2111829" y="2334986"/>
          <a:ext cx="2079171" cy="1415143"/>
        </a:xfrm>
        <a:prstGeom prst="straightConnector1">
          <a:avLst/>
        </a:prstGeom>
        <a:ln w="317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299358</xdr:colOff>
      <xdr:row>25</xdr:row>
      <xdr:rowOff>201384</xdr:rowOff>
    </xdr:from>
    <xdr:ext cx="2796343" cy="78124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5DC7A2B8-51EB-4692-9C97-1CA9D97B6C67}"/>
            </a:ext>
          </a:extLst>
        </xdr:cNvPr>
        <xdr:cNvSpPr txBox="1"/>
      </xdr:nvSpPr>
      <xdr:spPr>
        <a:xfrm>
          <a:off x="7625444" y="4789713"/>
          <a:ext cx="2796343" cy="7812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rgbClr val="FF0000"/>
              </a:solidFill>
            </a:rPr>
            <a:t>Assume:</a:t>
          </a:r>
          <a:r>
            <a:rPr lang="en-US" sz="1100" b="1" baseline="0">
              <a:solidFill>
                <a:srgbClr val="FF0000"/>
              </a:solidFill>
            </a:rPr>
            <a:t> </a:t>
          </a:r>
        </a:p>
        <a:p>
          <a:r>
            <a:rPr lang="en-US" sz="1100" b="1" baseline="0">
              <a:solidFill>
                <a:srgbClr val="FF0000"/>
              </a:solidFill>
            </a:rPr>
            <a:t>1. DNAPL Saturation (S</a:t>
          </a:r>
          <a:r>
            <a:rPr lang="en-US" sz="1100" b="1" baseline="-25000">
              <a:solidFill>
                <a:srgbClr val="FF0000"/>
              </a:solidFill>
            </a:rPr>
            <a:t>r</a:t>
          </a:r>
          <a:r>
            <a:rPr lang="en-US" sz="1100" b="1" baseline="0">
              <a:solidFill>
                <a:srgbClr val="FF0000"/>
              </a:solidFill>
            </a:rPr>
            <a:t>) is 0.05.</a:t>
          </a:r>
        </a:p>
        <a:p>
          <a:r>
            <a:rPr lang="en-US" sz="1100" b="1" baseline="0">
              <a:solidFill>
                <a:srgbClr val="FF0000"/>
              </a:solidFill>
            </a:rPr>
            <a:t>2. Use geometric mean for fOC, bulk density </a:t>
          </a:r>
        </a:p>
        <a:p>
          <a:r>
            <a:rPr lang="en-US" sz="1100" b="1" baseline="0">
              <a:solidFill>
                <a:srgbClr val="FF0000"/>
              </a:solidFill>
            </a:rPr>
            <a:t>     &amp; porosity for consistency.</a:t>
          </a: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ravo-Ruiz, Habib" id="{8B2D1C33-9F61-4D60-A421-8DC0735B8A07}" userId="S::Habib.Bravo-Ruiz@WestonSolutions.com::f326672a-d473-4618-9c3f-03b6cbaa13d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52" dT="2025-11-09T22:38:02.51" personId="{8B2D1C33-9F61-4D60-A421-8DC0735B8A07}" id="{5E9FB675-02B5-4521-BB81-D9752F1AB505}">
    <text>Below formula is different. Bulk density not used in denominator.</text>
  </threadedComment>
  <threadedComment ref="B53" dT="2025-11-09T22:54:22.26" personId="{8B2D1C33-9F61-4D60-A421-8DC0735B8A07}" id="{7A4FFBEF-A5FC-456C-8071-9861F00EAA76}">
    <text>Units?? g/mL?</text>
  </threadedComment>
</ThreadedComment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zoomScaleNormal="100" workbookViewId="0">
      <selection activeCell="B29" sqref="B29"/>
    </sheetView>
  </sheetViews>
  <sheetFormatPr defaultRowHeight="12.75" x14ac:dyDescent="0.2"/>
  <cols>
    <col min="1" max="1" width="31.33203125" customWidth="1"/>
    <col min="2" max="3" width="24.5" customWidth="1"/>
    <col min="4" max="4" width="23.33203125" customWidth="1"/>
    <col min="5" max="6" width="24.5" customWidth="1"/>
    <col min="7" max="7" width="19.83203125" customWidth="1"/>
  </cols>
  <sheetData>
    <row r="1" spans="1:7" ht="122.45" customHeight="1" x14ac:dyDescent="0.2">
      <c r="A1" s="158" t="s">
        <v>0</v>
      </c>
      <c r="B1" s="158"/>
      <c r="C1" s="158"/>
      <c r="D1" s="158"/>
      <c r="E1" s="158"/>
      <c r="F1" s="158"/>
      <c r="G1" s="158"/>
    </row>
    <row r="2" spans="1:7" ht="14.25" customHeight="1" x14ac:dyDescent="0.2">
      <c r="A2" s="2" t="s">
        <v>1</v>
      </c>
      <c r="B2" s="3" t="s">
        <v>2</v>
      </c>
      <c r="C2" s="3" t="s">
        <v>2</v>
      </c>
      <c r="D2" s="3" t="s">
        <v>2</v>
      </c>
      <c r="E2" s="3" t="s">
        <v>2</v>
      </c>
      <c r="F2" s="4" t="s">
        <v>2</v>
      </c>
      <c r="G2" s="5"/>
    </row>
    <row r="3" spans="1:7" ht="14.25" customHeight="1" x14ac:dyDescent="0.2">
      <c r="A3" s="2" t="s">
        <v>3</v>
      </c>
      <c r="B3" s="6">
        <v>44295</v>
      </c>
      <c r="C3" s="6">
        <v>44295</v>
      </c>
      <c r="D3" s="6">
        <v>44295</v>
      </c>
      <c r="E3" s="6">
        <v>44295</v>
      </c>
      <c r="F3" s="7">
        <v>44295</v>
      </c>
      <c r="G3" s="5"/>
    </row>
    <row r="4" spans="1:7" ht="14.25" customHeight="1" x14ac:dyDescent="0.2">
      <c r="A4" s="2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4" t="s">
        <v>9</v>
      </c>
      <c r="G4" s="5"/>
    </row>
    <row r="5" spans="1:7" ht="28.5" customHeight="1" x14ac:dyDescent="0.2">
      <c r="A5" s="2" t="s">
        <v>10</v>
      </c>
      <c r="B5" s="8" t="s">
        <v>11</v>
      </c>
      <c r="C5" s="8" t="s">
        <v>12</v>
      </c>
      <c r="D5" s="8" t="s">
        <v>13</v>
      </c>
      <c r="E5" s="8" t="s">
        <v>14</v>
      </c>
      <c r="F5" s="9" t="s">
        <v>15</v>
      </c>
      <c r="G5" s="1"/>
    </row>
    <row r="6" spans="1:7" ht="12.75" customHeight="1" x14ac:dyDescent="0.2">
      <c r="A6" s="159" t="s">
        <v>16</v>
      </c>
      <c r="B6" s="159"/>
      <c r="C6" s="159"/>
      <c r="D6" s="159"/>
      <c r="E6" s="159"/>
      <c r="F6" s="159"/>
      <c r="G6" s="5"/>
    </row>
    <row r="7" spans="1:7" ht="15.95" customHeight="1" x14ac:dyDescent="0.2">
      <c r="A7" s="10" t="s">
        <v>17</v>
      </c>
      <c r="B7" s="11">
        <v>0</v>
      </c>
      <c r="C7" s="12">
        <v>1.7</v>
      </c>
      <c r="D7" s="11">
        <v>1</v>
      </c>
      <c r="E7" s="12">
        <v>3.6</v>
      </c>
      <c r="F7" s="13">
        <v>0.9</v>
      </c>
      <c r="G7" s="5"/>
    </row>
    <row r="8" spans="1:7" ht="15" customHeight="1" x14ac:dyDescent="0.2">
      <c r="A8" s="10" t="s">
        <v>18</v>
      </c>
      <c r="B8" s="14" t="s">
        <v>19</v>
      </c>
      <c r="C8" s="14" t="s">
        <v>19</v>
      </c>
      <c r="D8" s="14" t="s">
        <v>19</v>
      </c>
      <c r="E8" s="14" t="s">
        <v>19</v>
      </c>
      <c r="F8" s="15" t="s">
        <v>19</v>
      </c>
      <c r="G8" s="5"/>
    </row>
    <row r="9" spans="1:7" ht="15" customHeight="1" x14ac:dyDescent="0.2">
      <c r="A9" s="10" t="s">
        <v>20</v>
      </c>
      <c r="B9" s="14" t="s">
        <v>19</v>
      </c>
      <c r="C9" s="14" t="s">
        <v>19</v>
      </c>
      <c r="D9" s="14" t="s">
        <v>19</v>
      </c>
      <c r="E9" s="14" t="s">
        <v>19</v>
      </c>
      <c r="F9" s="15" t="s">
        <v>19</v>
      </c>
      <c r="G9" s="5"/>
    </row>
    <row r="10" spans="1:7" ht="15" customHeight="1" x14ac:dyDescent="0.2">
      <c r="A10" s="10" t="s">
        <v>21</v>
      </c>
      <c r="B10" s="14" t="s">
        <v>19</v>
      </c>
      <c r="C10" s="14" t="s">
        <v>19</v>
      </c>
      <c r="D10" s="14" t="s">
        <v>19</v>
      </c>
      <c r="E10" s="14" t="s">
        <v>19</v>
      </c>
      <c r="F10" s="15" t="s">
        <v>19</v>
      </c>
      <c r="G10" s="5"/>
    </row>
    <row r="11" spans="1:7" ht="15.95" customHeight="1" x14ac:dyDescent="0.2">
      <c r="A11" s="16" t="s">
        <v>22</v>
      </c>
      <c r="B11" s="14" t="s">
        <v>19</v>
      </c>
      <c r="C11" s="14" t="s">
        <v>19</v>
      </c>
      <c r="D11" s="14" t="s">
        <v>19</v>
      </c>
      <c r="E11" s="14" t="s">
        <v>19</v>
      </c>
      <c r="F11" s="15" t="s">
        <v>19</v>
      </c>
      <c r="G11" s="5"/>
    </row>
    <row r="12" spans="1:7" ht="15" customHeight="1" x14ac:dyDescent="0.2">
      <c r="A12" s="10" t="s">
        <v>23</v>
      </c>
      <c r="B12" s="14" t="s">
        <v>19</v>
      </c>
      <c r="C12" s="14" t="s">
        <v>19</v>
      </c>
      <c r="D12" s="14" t="s">
        <v>19</v>
      </c>
      <c r="E12" s="14" t="s">
        <v>19</v>
      </c>
      <c r="F12" s="15" t="s">
        <v>19</v>
      </c>
      <c r="G12" s="5"/>
    </row>
    <row r="13" spans="1:7" ht="15" customHeight="1" x14ac:dyDescent="0.2">
      <c r="A13" s="17" t="s">
        <v>24</v>
      </c>
      <c r="B13" s="18" t="s">
        <v>19</v>
      </c>
      <c r="C13" s="18" t="s">
        <v>19</v>
      </c>
      <c r="D13" s="18" t="s">
        <v>19</v>
      </c>
      <c r="E13" s="18" t="s">
        <v>19</v>
      </c>
      <c r="F13" s="19" t="s">
        <v>19</v>
      </c>
      <c r="G13" s="5"/>
    </row>
    <row r="14" spans="1:7" ht="12.95" customHeight="1" x14ac:dyDescent="0.2">
      <c r="A14" s="160"/>
      <c r="B14" s="160"/>
      <c r="C14" s="160"/>
      <c r="D14" s="160"/>
      <c r="E14" s="160"/>
      <c r="F14" s="160"/>
      <c r="G14" s="5"/>
    </row>
    <row r="15" spans="1:7" ht="14.25" customHeight="1" x14ac:dyDescent="0.2">
      <c r="A15" s="2" t="s">
        <v>1</v>
      </c>
      <c r="B15" s="3" t="s">
        <v>25</v>
      </c>
      <c r="C15" s="3" t="s">
        <v>26</v>
      </c>
      <c r="D15" s="3" t="s">
        <v>26</v>
      </c>
      <c r="E15" s="3" t="s">
        <v>26</v>
      </c>
      <c r="F15" s="4" t="s">
        <v>25</v>
      </c>
      <c r="G15" s="1"/>
    </row>
    <row r="16" spans="1:7" ht="14.25" customHeight="1" x14ac:dyDescent="0.2">
      <c r="A16" s="2" t="s">
        <v>3</v>
      </c>
      <c r="B16" s="6">
        <v>44298</v>
      </c>
      <c r="C16" s="6">
        <v>44298</v>
      </c>
      <c r="D16" s="6">
        <v>44298</v>
      </c>
      <c r="E16" s="6">
        <v>44298</v>
      </c>
      <c r="F16" s="7">
        <v>44298</v>
      </c>
      <c r="G16" s="5"/>
    </row>
    <row r="17" spans="1:7" ht="14.25" customHeight="1" x14ac:dyDescent="0.2">
      <c r="A17" s="2" t="s">
        <v>4</v>
      </c>
      <c r="B17" s="3" t="s">
        <v>27</v>
      </c>
      <c r="C17" s="3" t="s">
        <v>28</v>
      </c>
      <c r="D17" s="3" t="s">
        <v>29</v>
      </c>
      <c r="E17" s="3" t="s">
        <v>30</v>
      </c>
      <c r="F17" s="4" t="s">
        <v>31</v>
      </c>
      <c r="G17" s="5"/>
    </row>
    <row r="18" spans="1:7" ht="28.5" customHeight="1" x14ac:dyDescent="0.2">
      <c r="A18" s="2" t="s">
        <v>10</v>
      </c>
      <c r="B18" s="8" t="s">
        <v>32</v>
      </c>
      <c r="C18" s="8" t="s">
        <v>33</v>
      </c>
      <c r="D18" s="8" t="s">
        <v>34</v>
      </c>
      <c r="E18" s="8" t="s">
        <v>35</v>
      </c>
      <c r="F18" s="9" t="s">
        <v>36</v>
      </c>
      <c r="G18" s="1"/>
    </row>
    <row r="19" spans="1:7" ht="12.75" customHeight="1" x14ac:dyDescent="0.2">
      <c r="A19" s="159" t="s">
        <v>16</v>
      </c>
      <c r="B19" s="159"/>
      <c r="C19" s="159"/>
      <c r="D19" s="159"/>
      <c r="E19" s="159"/>
      <c r="F19" s="159"/>
      <c r="G19" s="5"/>
    </row>
    <row r="20" spans="1:7" ht="15.95" customHeight="1" x14ac:dyDescent="0.2">
      <c r="A20" s="10" t="s">
        <v>17</v>
      </c>
      <c r="B20" s="12">
        <v>0.3</v>
      </c>
      <c r="C20" s="12">
        <v>0.2</v>
      </c>
      <c r="D20" s="12">
        <v>1.6</v>
      </c>
      <c r="E20" s="12">
        <v>2.9</v>
      </c>
      <c r="F20" s="13">
        <v>3.1</v>
      </c>
      <c r="G20" s="5"/>
    </row>
    <row r="21" spans="1:7" ht="15" customHeight="1" x14ac:dyDescent="0.2">
      <c r="A21" s="10" t="s">
        <v>18</v>
      </c>
      <c r="B21" s="14" t="s">
        <v>19</v>
      </c>
      <c r="C21" s="12">
        <v>115.1</v>
      </c>
      <c r="D21" s="12">
        <v>122.5</v>
      </c>
      <c r="E21" s="20">
        <v>99.62</v>
      </c>
      <c r="F21" s="15" t="s">
        <v>19</v>
      </c>
      <c r="G21" s="5"/>
    </row>
    <row r="22" spans="1:7" ht="15" customHeight="1" x14ac:dyDescent="0.2">
      <c r="A22" s="10" t="s">
        <v>20</v>
      </c>
      <c r="B22" s="14" t="s">
        <v>19</v>
      </c>
      <c r="C22" s="20">
        <v>23.24</v>
      </c>
      <c r="D22" s="20">
        <v>20.04</v>
      </c>
      <c r="E22" s="20">
        <v>49.41</v>
      </c>
      <c r="F22" s="15" t="s">
        <v>19</v>
      </c>
      <c r="G22" s="5"/>
    </row>
    <row r="23" spans="1:7" ht="15" customHeight="1" x14ac:dyDescent="0.2">
      <c r="A23" s="10" t="s">
        <v>21</v>
      </c>
      <c r="B23" s="14" t="s">
        <v>19</v>
      </c>
      <c r="C23" s="20">
        <v>93.41</v>
      </c>
      <c r="D23" s="11">
        <v>102</v>
      </c>
      <c r="E23" s="20">
        <v>66.67</v>
      </c>
      <c r="F23" s="15" t="s">
        <v>19</v>
      </c>
      <c r="G23" s="5"/>
    </row>
    <row r="24" spans="1:7" ht="15.95" customHeight="1" x14ac:dyDescent="0.2">
      <c r="A24" s="16" t="s">
        <v>22</v>
      </c>
      <c r="B24" s="14" t="s">
        <v>19</v>
      </c>
      <c r="C24" s="20">
        <v>2.71</v>
      </c>
      <c r="D24" s="20">
        <v>2.76</v>
      </c>
      <c r="E24" s="20">
        <v>2.75</v>
      </c>
      <c r="F24" s="15" t="s">
        <v>19</v>
      </c>
      <c r="G24" s="5"/>
    </row>
    <row r="25" spans="1:7" ht="15" customHeight="1" x14ac:dyDescent="0.2">
      <c r="A25" s="10" t="s">
        <v>23</v>
      </c>
      <c r="B25" s="14" t="s">
        <v>19</v>
      </c>
      <c r="C25" s="20">
        <v>0.45</v>
      </c>
      <c r="D25" s="20">
        <v>0.41</v>
      </c>
      <c r="E25" s="20">
        <v>0.61</v>
      </c>
      <c r="F25" s="15" t="s">
        <v>19</v>
      </c>
      <c r="G25" s="5"/>
    </row>
    <row r="26" spans="1:7" ht="15" customHeight="1" x14ac:dyDescent="0.2">
      <c r="A26" s="17" t="s">
        <v>24</v>
      </c>
      <c r="B26" s="18" t="s">
        <v>19</v>
      </c>
      <c r="C26" s="21">
        <v>0.81</v>
      </c>
      <c r="D26" s="21">
        <v>0.69</v>
      </c>
      <c r="E26" s="21">
        <v>1.58</v>
      </c>
      <c r="F26" s="19" t="s">
        <v>19</v>
      </c>
      <c r="G26" s="5"/>
    </row>
    <row r="27" spans="1:7" ht="12.75" customHeight="1" x14ac:dyDescent="0.2">
      <c r="A27" s="160"/>
      <c r="B27" s="160"/>
      <c r="C27" s="160"/>
      <c r="D27" s="160"/>
      <c r="E27" s="160"/>
      <c r="F27" s="160"/>
      <c r="G27" s="5"/>
    </row>
    <row r="28" spans="1:7" ht="208.35" customHeight="1" x14ac:dyDescent="0.2">
      <c r="A28" s="157" t="s">
        <v>37</v>
      </c>
      <c r="B28" s="157"/>
      <c r="C28" s="157"/>
      <c r="D28" s="157"/>
      <c r="E28" s="157"/>
      <c r="F28" s="157"/>
      <c r="G28" s="157"/>
    </row>
  </sheetData>
  <mergeCells count="6">
    <mergeCell ref="A28:G28"/>
    <mergeCell ref="A1:G1"/>
    <mergeCell ref="A6:F6"/>
    <mergeCell ref="A14:F14"/>
    <mergeCell ref="A19:F19"/>
    <mergeCell ref="A27:F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7F7F3-B667-49DD-B1C1-9C984C41F42E}">
  <dimension ref="A1:N47"/>
  <sheetViews>
    <sheetView workbookViewId="0">
      <selection activeCell="G12" sqref="G12"/>
    </sheetView>
  </sheetViews>
  <sheetFormatPr defaultRowHeight="12.75" x14ac:dyDescent="0.2"/>
  <cols>
    <col min="1" max="1" width="31.33203125" customWidth="1"/>
    <col min="2" max="3" width="24.5" customWidth="1"/>
    <col min="4" max="4" width="23.33203125" customWidth="1"/>
    <col min="5" max="6" width="24.5" customWidth="1"/>
    <col min="7" max="7" width="19.83203125" customWidth="1"/>
  </cols>
  <sheetData>
    <row r="1" spans="1:14" ht="122.45" customHeight="1" x14ac:dyDescent="0.2">
      <c r="A1" s="158" t="s">
        <v>0</v>
      </c>
      <c r="B1" s="158"/>
      <c r="C1" s="158"/>
      <c r="D1" s="158"/>
      <c r="E1" s="158"/>
      <c r="F1" s="158"/>
      <c r="G1" s="158"/>
    </row>
    <row r="2" spans="1:14" ht="14.25" customHeight="1" x14ac:dyDescent="0.2">
      <c r="A2" s="2" t="s">
        <v>1</v>
      </c>
      <c r="B2" s="3" t="s">
        <v>2</v>
      </c>
      <c r="C2" s="3" t="s">
        <v>2</v>
      </c>
      <c r="D2" s="3" t="s">
        <v>2</v>
      </c>
      <c r="E2" s="3" t="s">
        <v>2</v>
      </c>
      <c r="F2" s="4" t="s">
        <v>2</v>
      </c>
      <c r="G2" s="5"/>
    </row>
    <row r="3" spans="1:14" ht="14.25" customHeight="1" x14ac:dyDescent="0.2">
      <c r="A3" s="2" t="s">
        <v>3</v>
      </c>
      <c r="B3" s="6">
        <v>44295</v>
      </c>
      <c r="C3" s="6">
        <v>44295</v>
      </c>
      <c r="D3" s="6">
        <v>44295</v>
      </c>
      <c r="E3" s="6">
        <v>44295</v>
      </c>
      <c r="F3" s="7">
        <v>44295</v>
      </c>
      <c r="G3" s="5"/>
    </row>
    <row r="4" spans="1:14" ht="14.25" customHeight="1" x14ac:dyDescent="0.2">
      <c r="A4" s="2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4" t="s">
        <v>9</v>
      </c>
      <c r="G4" s="5"/>
    </row>
    <row r="5" spans="1:14" ht="28.5" customHeight="1" x14ac:dyDescent="0.2">
      <c r="A5" s="2" t="s">
        <v>10</v>
      </c>
      <c r="B5" s="8" t="s">
        <v>11</v>
      </c>
      <c r="C5" s="8" t="s">
        <v>12</v>
      </c>
      <c r="D5" s="8" t="s">
        <v>13</v>
      </c>
      <c r="E5" s="8" t="s">
        <v>14</v>
      </c>
      <c r="F5" s="9" t="s">
        <v>15</v>
      </c>
      <c r="G5" s="1"/>
    </row>
    <row r="6" spans="1:14" ht="12.75" customHeight="1" x14ac:dyDescent="0.2">
      <c r="A6" s="159" t="s">
        <v>16</v>
      </c>
      <c r="B6" s="159"/>
      <c r="C6" s="159"/>
      <c r="D6" s="159"/>
      <c r="E6" s="159"/>
      <c r="F6" s="159"/>
      <c r="G6" s="5"/>
      <c r="N6" s="11">
        <v>0.01</v>
      </c>
    </row>
    <row r="7" spans="1:14" ht="15.95" customHeight="1" x14ac:dyDescent="0.2">
      <c r="A7" s="10" t="s">
        <v>17</v>
      </c>
      <c r="B7" s="11">
        <v>0.01</v>
      </c>
      <c r="C7" s="12">
        <v>1.7</v>
      </c>
      <c r="D7" s="11">
        <v>1</v>
      </c>
      <c r="E7" s="12">
        <v>3.6</v>
      </c>
      <c r="F7" s="13">
        <v>0.9</v>
      </c>
      <c r="G7" s="5">
        <f>GEOMEAN(B7:F7)</f>
        <v>0.56001387373987399</v>
      </c>
      <c r="N7" s="12">
        <v>1.7</v>
      </c>
    </row>
    <row r="8" spans="1:14" ht="15" customHeight="1" x14ac:dyDescent="0.2">
      <c r="A8" s="10" t="s">
        <v>18</v>
      </c>
      <c r="B8" s="14" t="s">
        <v>19</v>
      </c>
      <c r="C8" s="14" t="s">
        <v>19</v>
      </c>
      <c r="D8" s="14" t="s">
        <v>19</v>
      </c>
      <c r="E8" s="14" t="s">
        <v>19</v>
      </c>
      <c r="F8" s="15" t="s">
        <v>19</v>
      </c>
      <c r="G8" s="5"/>
      <c r="N8" s="11">
        <v>1</v>
      </c>
    </row>
    <row r="9" spans="1:14" ht="15" customHeight="1" x14ac:dyDescent="0.2">
      <c r="A9" s="10" t="s">
        <v>20</v>
      </c>
      <c r="B9" s="14" t="s">
        <v>19</v>
      </c>
      <c r="C9" s="14" t="s">
        <v>19</v>
      </c>
      <c r="D9" s="14" t="s">
        <v>19</v>
      </c>
      <c r="E9" s="14" t="s">
        <v>19</v>
      </c>
      <c r="F9" s="15" t="s">
        <v>19</v>
      </c>
      <c r="G9" s="5"/>
      <c r="N9" s="12">
        <v>3.6</v>
      </c>
    </row>
    <row r="10" spans="1:14" ht="15" customHeight="1" x14ac:dyDescent="0.2">
      <c r="A10" s="10" t="s">
        <v>21</v>
      </c>
      <c r="B10" s="14" t="s">
        <v>19</v>
      </c>
      <c r="C10" s="14" t="s">
        <v>19</v>
      </c>
      <c r="D10" s="14" t="s">
        <v>19</v>
      </c>
      <c r="E10" s="14" t="s">
        <v>19</v>
      </c>
      <c r="F10" s="15" t="s">
        <v>19</v>
      </c>
      <c r="G10" s="5"/>
      <c r="N10" s="13">
        <v>0.9</v>
      </c>
    </row>
    <row r="11" spans="1:14" ht="15.95" customHeight="1" x14ac:dyDescent="0.2">
      <c r="A11" s="16" t="s">
        <v>22</v>
      </c>
      <c r="B11" s="14" t="s">
        <v>19</v>
      </c>
      <c r="C11" s="14" t="s">
        <v>19</v>
      </c>
      <c r="D11" s="14" t="s">
        <v>19</v>
      </c>
      <c r="E11" s="14" t="s">
        <v>19</v>
      </c>
      <c r="F11" s="15" t="s">
        <v>19</v>
      </c>
      <c r="G11" s="5"/>
      <c r="N11" s="12">
        <v>0.3</v>
      </c>
    </row>
    <row r="12" spans="1:14" ht="15" customHeight="1" x14ac:dyDescent="0.2">
      <c r="A12" s="10" t="s">
        <v>23</v>
      </c>
      <c r="B12" s="14" t="s">
        <v>19</v>
      </c>
      <c r="C12" s="14" t="s">
        <v>19</v>
      </c>
      <c r="D12" s="14" t="s">
        <v>19</v>
      </c>
      <c r="E12" s="14" t="s">
        <v>19</v>
      </c>
      <c r="F12" s="15" t="s">
        <v>19</v>
      </c>
      <c r="G12" s="5"/>
      <c r="N12" s="12">
        <v>0.2</v>
      </c>
    </row>
    <row r="13" spans="1:14" ht="15" customHeight="1" x14ac:dyDescent="0.2">
      <c r="A13" s="17" t="s">
        <v>24</v>
      </c>
      <c r="B13" s="18" t="s">
        <v>19</v>
      </c>
      <c r="C13" s="18" t="s">
        <v>19</v>
      </c>
      <c r="D13" s="18" t="s">
        <v>19</v>
      </c>
      <c r="E13" s="18" t="s">
        <v>19</v>
      </c>
      <c r="F13" s="19" t="s">
        <v>19</v>
      </c>
      <c r="G13" s="5"/>
      <c r="N13" s="12">
        <v>1.6</v>
      </c>
    </row>
    <row r="14" spans="1:14" ht="12.95" customHeight="1" x14ac:dyDescent="0.2">
      <c r="A14" s="160"/>
      <c r="B14" s="160"/>
      <c r="C14" s="160"/>
      <c r="D14" s="160"/>
      <c r="E14" s="160"/>
      <c r="F14" s="160"/>
      <c r="G14" s="5"/>
      <c r="N14" s="12">
        <v>2.9</v>
      </c>
    </row>
    <row r="15" spans="1:14" ht="14.25" customHeight="1" x14ac:dyDescent="0.2">
      <c r="A15" s="2" t="s">
        <v>1</v>
      </c>
      <c r="B15" s="3" t="s">
        <v>25</v>
      </c>
      <c r="C15" s="3" t="s">
        <v>26</v>
      </c>
      <c r="D15" s="3" t="s">
        <v>26</v>
      </c>
      <c r="E15" s="3" t="s">
        <v>26</v>
      </c>
      <c r="F15" s="4" t="s">
        <v>25</v>
      </c>
      <c r="G15" s="1"/>
      <c r="N15" s="13">
        <v>3.1</v>
      </c>
    </row>
    <row r="16" spans="1:14" ht="14.25" customHeight="1" x14ac:dyDescent="0.2">
      <c r="A16" s="2" t="s">
        <v>3</v>
      </c>
      <c r="B16" s="6">
        <v>44298</v>
      </c>
      <c r="C16" s="6">
        <v>44298</v>
      </c>
      <c r="D16" s="6">
        <v>44298</v>
      </c>
      <c r="E16" s="6">
        <v>44298</v>
      </c>
      <c r="F16" s="7">
        <v>44298</v>
      </c>
      <c r="G16" s="5"/>
      <c r="N16">
        <f>GEOMEAN(N6:N15)</f>
        <v>0.73739890036549316</v>
      </c>
    </row>
    <row r="17" spans="1:14" ht="14.25" customHeight="1" x14ac:dyDescent="0.2">
      <c r="A17" s="2" t="s">
        <v>4</v>
      </c>
      <c r="B17" s="3" t="s">
        <v>27</v>
      </c>
      <c r="C17" s="3" t="s">
        <v>28</v>
      </c>
      <c r="D17" s="3" t="s">
        <v>29</v>
      </c>
      <c r="E17" s="3" t="s">
        <v>30</v>
      </c>
      <c r="F17" s="4" t="s">
        <v>31</v>
      </c>
      <c r="G17" s="5"/>
      <c r="N17">
        <f>N16/100</f>
        <v>7.3739890036549315E-3</v>
      </c>
    </row>
    <row r="18" spans="1:14" ht="28.5" customHeight="1" x14ac:dyDescent="0.2">
      <c r="A18" s="2" t="s">
        <v>10</v>
      </c>
      <c r="B18" s="8" t="s">
        <v>32</v>
      </c>
      <c r="C18" s="8" t="s">
        <v>33</v>
      </c>
      <c r="D18" s="8" t="s">
        <v>34</v>
      </c>
      <c r="E18" s="8" t="s">
        <v>35</v>
      </c>
      <c r="F18" s="9" t="s">
        <v>36</v>
      </c>
      <c r="G18" s="1"/>
    </row>
    <row r="19" spans="1:14" ht="12.75" customHeight="1" x14ac:dyDescent="0.2">
      <c r="A19" s="159" t="s">
        <v>16</v>
      </c>
      <c r="B19" s="159"/>
      <c r="C19" s="159"/>
      <c r="D19" s="159"/>
      <c r="E19" s="159"/>
      <c r="F19" s="159"/>
      <c r="G19" s="5"/>
      <c r="H19" t="s">
        <v>38</v>
      </c>
    </row>
    <row r="20" spans="1:14" ht="15.95" customHeight="1" x14ac:dyDescent="0.2">
      <c r="A20" s="10" t="s">
        <v>17</v>
      </c>
      <c r="B20" s="12">
        <v>0.3</v>
      </c>
      <c r="C20" s="12">
        <v>0.2</v>
      </c>
      <c r="D20" s="12">
        <v>1.6</v>
      </c>
      <c r="E20" s="12">
        <v>2.9</v>
      </c>
      <c r="F20" s="13">
        <v>3.1</v>
      </c>
      <c r="G20" s="5">
        <f>GEOMEAN(B20:F20)</f>
        <v>0.97097083439903009</v>
      </c>
    </row>
    <row r="21" spans="1:14" ht="15" customHeight="1" x14ac:dyDescent="0.2">
      <c r="A21" s="10" t="s">
        <v>18</v>
      </c>
      <c r="B21" s="14" t="s">
        <v>19</v>
      </c>
      <c r="C21" s="12">
        <v>115.1</v>
      </c>
      <c r="D21" s="12">
        <v>122.5</v>
      </c>
      <c r="E21" s="20">
        <v>99.62</v>
      </c>
      <c r="F21" s="15" t="s">
        <v>19</v>
      </c>
      <c r="G21" s="5">
        <f t="shared" ref="G21:G26" si="0">GEOMEAN(B21:F21)</f>
        <v>111.99173767174652</v>
      </c>
      <c r="H21">
        <f>0.0160185*G21</f>
        <v>1.7939396498948719</v>
      </c>
    </row>
    <row r="22" spans="1:14" ht="15" customHeight="1" x14ac:dyDescent="0.2">
      <c r="A22" s="10" t="s">
        <v>20</v>
      </c>
      <c r="B22" s="14" t="s">
        <v>19</v>
      </c>
      <c r="C22" s="20">
        <v>23.24</v>
      </c>
      <c r="D22" s="20">
        <v>20.04</v>
      </c>
      <c r="E22" s="20">
        <v>49.41</v>
      </c>
      <c r="F22" s="15" t="s">
        <v>19</v>
      </c>
      <c r="G22" s="5">
        <f t="shared" si="0"/>
        <v>28.443490999119483</v>
      </c>
    </row>
    <row r="23" spans="1:14" ht="15" customHeight="1" x14ac:dyDescent="0.2">
      <c r="A23" s="10" t="s">
        <v>21</v>
      </c>
      <c r="B23" s="14" t="s">
        <v>19</v>
      </c>
      <c r="C23" s="20">
        <v>93.41</v>
      </c>
      <c r="D23" s="11">
        <v>102</v>
      </c>
      <c r="E23" s="20">
        <v>66.67</v>
      </c>
      <c r="F23" s="15" t="s">
        <v>19</v>
      </c>
      <c r="G23" s="5">
        <f t="shared" si="0"/>
        <v>85.962294603199609</v>
      </c>
    </row>
    <row r="24" spans="1:14" ht="15.95" customHeight="1" x14ac:dyDescent="0.2">
      <c r="A24" s="16" t="s">
        <v>22</v>
      </c>
      <c r="B24" s="14" t="s">
        <v>19</v>
      </c>
      <c r="C24" s="20">
        <v>2.71</v>
      </c>
      <c r="D24" s="20">
        <v>2.76</v>
      </c>
      <c r="E24" s="20">
        <v>2.75</v>
      </c>
      <c r="F24" s="15" t="s">
        <v>19</v>
      </c>
      <c r="G24" s="5">
        <f t="shared" si="0"/>
        <v>2.7399145727890244</v>
      </c>
    </row>
    <row r="25" spans="1:14" ht="15" customHeight="1" x14ac:dyDescent="0.2">
      <c r="A25" s="10" t="s">
        <v>23</v>
      </c>
      <c r="B25" s="14" t="s">
        <v>19</v>
      </c>
      <c r="C25" s="20">
        <v>0.45</v>
      </c>
      <c r="D25" s="20">
        <v>0.41</v>
      </c>
      <c r="E25" s="20">
        <v>0.61</v>
      </c>
      <c r="F25" s="15" t="s">
        <v>19</v>
      </c>
      <c r="G25" s="5">
        <f t="shared" si="0"/>
        <v>0.48280904968156735</v>
      </c>
      <c r="H25">
        <f>1-(H21/2.65)</f>
        <v>0.32304164154910497</v>
      </c>
    </row>
    <row r="26" spans="1:14" ht="15" customHeight="1" x14ac:dyDescent="0.2">
      <c r="A26" s="17" t="s">
        <v>24</v>
      </c>
      <c r="B26" s="18" t="s">
        <v>19</v>
      </c>
      <c r="C26" s="21">
        <v>0.81</v>
      </c>
      <c r="D26" s="21">
        <v>0.69</v>
      </c>
      <c r="E26" s="21">
        <v>1.58</v>
      </c>
      <c r="F26" s="19" t="s">
        <v>19</v>
      </c>
      <c r="G26" s="5">
        <f t="shared" si="0"/>
        <v>0.95939414898099828</v>
      </c>
    </row>
    <row r="27" spans="1:14" ht="12.75" customHeight="1" x14ac:dyDescent="0.2">
      <c r="A27" s="160"/>
      <c r="B27" s="160"/>
      <c r="C27" s="160"/>
      <c r="D27" s="160"/>
      <c r="E27" s="160"/>
      <c r="F27" s="160"/>
      <c r="G27" s="5"/>
    </row>
    <row r="28" spans="1:14" ht="208.35" customHeight="1" x14ac:dyDescent="0.2">
      <c r="A28" s="157" t="s">
        <v>37</v>
      </c>
      <c r="B28" s="157"/>
      <c r="C28" s="157"/>
      <c r="D28" s="157"/>
      <c r="E28" s="157"/>
      <c r="F28" s="157"/>
      <c r="G28" s="157"/>
    </row>
    <row r="36" spans="1:2" ht="24" x14ac:dyDescent="0.2">
      <c r="B36" s="10" t="s">
        <v>17</v>
      </c>
    </row>
    <row r="37" spans="1:2" x14ac:dyDescent="0.2">
      <c r="B37" s="11">
        <v>0.01</v>
      </c>
    </row>
    <row r="38" spans="1:2" x14ac:dyDescent="0.2">
      <c r="B38" s="12">
        <v>1.7</v>
      </c>
    </row>
    <row r="39" spans="1:2" x14ac:dyDescent="0.2">
      <c r="B39" s="11">
        <v>1</v>
      </c>
    </row>
    <row r="40" spans="1:2" x14ac:dyDescent="0.2">
      <c r="B40" s="12">
        <v>3.6</v>
      </c>
    </row>
    <row r="41" spans="1:2" x14ac:dyDescent="0.2">
      <c r="B41" s="13">
        <v>0.9</v>
      </c>
    </row>
    <row r="42" spans="1:2" x14ac:dyDescent="0.2">
      <c r="B42" s="12">
        <v>0.3</v>
      </c>
    </row>
    <row r="43" spans="1:2" x14ac:dyDescent="0.2">
      <c r="B43" s="12">
        <v>0.2</v>
      </c>
    </row>
    <row r="44" spans="1:2" x14ac:dyDescent="0.2">
      <c r="B44" s="12">
        <v>1.6</v>
      </c>
    </row>
    <row r="45" spans="1:2" x14ac:dyDescent="0.2">
      <c r="B45" s="12">
        <v>2.9</v>
      </c>
    </row>
    <row r="46" spans="1:2" x14ac:dyDescent="0.2">
      <c r="B46" s="13">
        <v>3.1</v>
      </c>
    </row>
    <row r="47" spans="1:2" x14ac:dyDescent="0.2">
      <c r="A47" t="s">
        <v>39</v>
      </c>
      <c r="B47" s="22">
        <f>GEOMEAN(B37:B46)/100</f>
        <v>7.3739890036549315E-3</v>
      </c>
    </row>
  </sheetData>
  <mergeCells count="6">
    <mergeCell ref="A28:G28"/>
    <mergeCell ref="A1:G1"/>
    <mergeCell ref="A6:F6"/>
    <mergeCell ref="A14:F14"/>
    <mergeCell ref="A19:F19"/>
    <mergeCell ref="A27:F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36507-7906-4D20-8023-B81A0C7F13C4}">
  <dimension ref="A1:I38"/>
  <sheetViews>
    <sheetView workbookViewId="0">
      <selection activeCell="C38" sqref="C38"/>
    </sheetView>
  </sheetViews>
  <sheetFormatPr defaultColWidth="10.83203125" defaultRowHeight="12.75" x14ac:dyDescent="0.2"/>
  <cols>
    <col min="1" max="1" width="24.5" style="32" customWidth="1"/>
    <col min="2" max="2" width="15" style="33" customWidth="1"/>
    <col min="3" max="3" width="24.5" style="33" customWidth="1"/>
    <col min="4" max="4" width="24.5" style="34" customWidth="1"/>
    <col min="5" max="8" width="24.5" style="32" customWidth="1"/>
    <col min="9" max="16384" width="10.83203125" style="32"/>
  </cols>
  <sheetData>
    <row r="1" spans="1:8" x14ac:dyDescent="0.2">
      <c r="A1" s="163" t="s">
        <v>47</v>
      </c>
      <c r="B1" s="163"/>
      <c r="C1" s="163"/>
      <c r="D1" s="163"/>
      <c r="E1" s="163"/>
      <c r="F1" s="163"/>
    </row>
    <row r="2" spans="1:8" x14ac:dyDescent="0.2">
      <c r="A2" s="164" t="s">
        <v>48</v>
      </c>
      <c r="B2" s="164"/>
      <c r="C2" s="164"/>
      <c r="D2" s="164"/>
      <c r="E2" s="164"/>
      <c r="F2" s="164"/>
    </row>
    <row r="3" spans="1:8" x14ac:dyDescent="0.2">
      <c r="A3" s="164"/>
      <c r="B3" s="164"/>
      <c r="C3" s="164"/>
      <c r="D3" s="164"/>
      <c r="E3" s="164"/>
      <c r="F3" s="164"/>
    </row>
    <row r="4" spans="1:8" x14ac:dyDescent="0.2">
      <c r="A4" s="164"/>
      <c r="B4" s="164"/>
      <c r="C4" s="164"/>
      <c r="D4" s="164"/>
      <c r="E4" s="164"/>
      <c r="F4" s="164"/>
    </row>
    <row r="5" spans="1:8" ht="13.5" thickBot="1" x14ac:dyDescent="0.25"/>
    <row r="6" spans="1:8" s="41" customFormat="1" ht="37.5" customHeight="1" thickBot="1" x14ac:dyDescent="0.25">
      <c r="A6" s="35" t="s">
        <v>49</v>
      </c>
      <c r="B6" s="36" t="s">
        <v>50</v>
      </c>
      <c r="C6" s="37" t="s">
        <v>51</v>
      </c>
      <c r="D6" s="38" t="s">
        <v>52</v>
      </c>
      <c r="E6" s="37" t="s">
        <v>53</v>
      </c>
      <c r="F6" s="37" t="s">
        <v>54</v>
      </c>
      <c r="G6" s="39" t="s">
        <v>55</v>
      </c>
      <c r="H6" s="40" t="s">
        <v>56</v>
      </c>
    </row>
    <row r="7" spans="1:8" s="48" customFormat="1" ht="30" customHeight="1" thickTop="1" x14ac:dyDescent="0.2">
      <c r="A7" s="42" t="s">
        <v>57</v>
      </c>
      <c r="B7" s="43" t="s">
        <v>58</v>
      </c>
      <c r="C7" s="44" t="s">
        <v>59</v>
      </c>
      <c r="D7" s="45" t="s">
        <v>60</v>
      </c>
      <c r="E7" s="44" t="s">
        <v>61</v>
      </c>
      <c r="F7" s="44" t="s">
        <v>62</v>
      </c>
      <c r="G7" s="46" t="s">
        <v>63</v>
      </c>
      <c r="H7" s="47" t="s">
        <v>64</v>
      </c>
    </row>
    <row r="8" spans="1:8" s="48" customFormat="1" ht="30" customHeight="1" x14ac:dyDescent="0.2">
      <c r="A8" s="42" t="s">
        <v>65</v>
      </c>
      <c r="B8" s="49" t="s">
        <v>66</v>
      </c>
      <c r="C8" s="44">
        <v>165.85</v>
      </c>
      <c r="D8" s="45">
        <v>131.4</v>
      </c>
      <c r="E8" s="44">
        <v>96.95</v>
      </c>
      <c r="F8" s="44">
        <v>62.5</v>
      </c>
      <c r="G8" s="50">
        <v>133.4</v>
      </c>
      <c r="H8" s="51">
        <v>88.11</v>
      </c>
    </row>
    <row r="9" spans="1:8" s="58" customFormat="1" ht="30" customHeight="1" x14ac:dyDescent="0.2">
      <c r="A9" s="52" t="s">
        <v>67</v>
      </c>
      <c r="B9" s="53" t="s">
        <v>68</v>
      </c>
      <c r="C9" s="54">
        <v>1.625</v>
      </c>
      <c r="D9" s="55">
        <v>1.46</v>
      </c>
      <c r="E9" s="54">
        <v>1.284</v>
      </c>
      <c r="F9" s="54">
        <v>0.91200000000000003</v>
      </c>
      <c r="G9" s="56">
        <v>1.3340000000000001</v>
      </c>
      <c r="H9" s="57">
        <v>1.0329999999999999</v>
      </c>
    </row>
    <row r="10" spans="1:8" s="58" customFormat="1" ht="30" customHeight="1" x14ac:dyDescent="0.2">
      <c r="A10" s="52" t="s">
        <v>69</v>
      </c>
      <c r="B10" s="53" t="s">
        <v>70</v>
      </c>
      <c r="C10" s="54">
        <v>210</v>
      </c>
      <c r="D10" s="59">
        <v>1280</v>
      </c>
      <c r="E10" s="60">
        <v>6400</v>
      </c>
      <c r="F10" s="60">
        <v>1100</v>
      </c>
      <c r="G10" s="61">
        <v>1290</v>
      </c>
      <c r="H10" s="62" t="s">
        <v>71</v>
      </c>
    </row>
    <row r="11" spans="1:8" s="58" customFormat="1" ht="30" customHeight="1" x14ac:dyDescent="0.2">
      <c r="A11" s="52" t="s">
        <v>72</v>
      </c>
      <c r="B11" s="53" t="s">
        <v>73</v>
      </c>
      <c r="C11" s="63">
        <v>152</v>
      </c>
      <c r="D11" s="64">
        <v>94</v>
      </c>
      <c r="E11" s="63">
        <v>36</v>
      </c>
      <c r="F11" s="63">
        <v>19</v>
      </c>
      <c r="G11" s="61">
        <f>10^2.03</f>
        <v>107.15193052376065</v>
      </c>
      <c r="H11" s="65">
        <f>10^1.23</f>
        <v>16.982436524617448</v>
      </c>
    </row>
    <row r="12" spans="1:8" s="58" customFormat="1" ht="30" customHeight="1" x14ac:dyDescent="0.2">
      <c r="A12" s="52" t="s">
        <v>74</v>
      </c>
      <c r="B12" s="53" t="s">
        <v>75</v>
      </c>
      <c r="C12" s="66">
        <v>1.84E-2</v>
      </c>
      <c r="D12" s="67">
        <v>1.03E-2</v>
      </c>
      <c r="E12" s="66">
        <v>4.0699999999999998E-3</v>
      </c>
      <c r="F12" s="66">
        <v>2.7099999999999999E-2</v>
      </c>
      <c r="G12" s="56">
        <v>1.6799999999999999E-2</v>
      </c>
      <c r="H12" s="68">
        <v>4.7999999999999998E-6</v>
      </c>
    </row>
    <row r="13" spans="1:8" s="58" customFormat="1" ht="30" customHeight="1" x14ac:dyDescent="0.2">
      <c r="A13" s="52" t="s">
        <v>76</v>
      </c>
      <c r="B13" s="53" t="s">
        <v>77</v>
      </c>
      <c r="C13" s="69">
        <f>C12/(0.0000820575*(273+25))</f>
        <v>0.75245975618259164</v>
      </c>
      <c r="D13" s="55">
        <f t="shared" ref="D13:F13" si="0">D12/(0.0000820575*(273+25))</f>
        <v>0.42121388525438558</v>
      </c>
      <c r="E13" s="69">
        <f t="shared" si="0"/>
        <v>0.16644082650343195</v>
      </c>
      <c r="F13" s="70">
        <f t="shared" si="0"/>
        <v>1.1082423582906649</v>
      </c>
      <c r="G13" s="56">
        <v>0.71099999999999997</v>
      </c>
      <c r="H13" s="71">
        <f>H12/(0.0000820575*(273+25))</f>
        <v>1.9629384943893697E-4</v>
      </c>
    </row>
    <row r="14" spans="1:8" s="58" customFormat="1" ht="30" customHeight="1" x14ac:dyDescent="0.2">
      <c r="A14" s="52" t="s">
        <v>78</v>
      </c>
      <c r="B14" s="53" t="s">
        <v>75</v>
      </c>
      <c r="C14" s="54" t="s">
        <v>79</v>
      </c>
      <c r="D14" s="72" t="s">
        <v>79</v>
      </c>
      <c r="E14" s="54" t="s">
        <v>79</v>
      </c>
      <c r="F14" s="54" t="s">
        <v>80</v>
      </c>
      <c r="G14" s="56" t="s">
        <v>79</v>
      </c>
      <c r="H14" s="54" t="s">
        <v>81</v>
      </c>
    </row>
    <row r="15" spans="1:8" s="58" customFormat="1" ht="30" customHeight="1" x14ac:dyDescent="0.2">
      <c r="A15" s="52" t="s">
        <v>82</v>
      </c>
      <c r="B15" s="53" t="s">
        <v>83</v>
      </c>
      <c r="C15" s="54">
        <v>18.399999999999999</v>
      </c>
      <c r="D15" s="72">
        <v>72</v>
      </c>
      <c r="E15" s="54">
        <v>175</v>
      </c>
      <c r="F15" s="60">
        <v>2800</v>
      </c>
      <c r="G15" s="56">
        <v>100</v>
      </c>
      <c r="H15" s="57">
        <v>29</v>
      </c>
    </row>
    <row r="16" spans="1:8" s="58" customFormat="1" ht="30" customHeight="1" x14ac:dyDescent="0.2">
      <c r="A16" s="52" t="s">
        <v>84</v>
      </c>
      <c r="B16" s="53" t="s">
        <v>83</v>
      </c>
      <c r="C16" s="54" t="s">
        <v>85</v>
      </c>
      <c r="D16" s="72" t="s">
        <v>85</v>
      </c>
      <c r="E16" s="54" t="s">
        <v>85</v>
      </c>
      <c r="F16" s="54" t="s">
        <v>86</v>
      </c>
      <c r="G16" s="56" t="s">
        <v>86</v>
      </c>
      <c r="H16" s="54" t="s">
        <v>85</v>
      </c>
    </row>
    <row r="17" spans="1:9" s="58" customFormat="1" ht="30" customHeight="1" thickBot="1" x14ac:dyDescent="0.25">
      <c r="A17" s="73" t="s">
        <v>87</v>
      </c>
      <c r="B17" s="74" t="s">
        <v>88</v>
      </c>
      <c r="C17" s="75" t="s">
        <v>89</v>
      </c>
      <c r="D17" s="76" t="s">
        <v>90</v>
      </c>
      <c r="E17" s="75" t="s">
        <v>91</v>
      </c>
      <c r="F17" s="75" t="s">
        <v>92</v>
      </c>
      <c r="G17" s="77" t="s">
        <v>93</v>
      </c>
      <c r="H17" s="78">
        <v>1.9</v>
      </c>
    </row>
    <row r="18" spans="1:9" s="80" customFormat="1" ht="10.5" customHeight="1" x14ac:dyDescent="0.2">
      <c r="A18" s="32" t="s">
        <v>94</v>
      </c>
      <c r="B18" s="79"/>
      <c r="C18" s="33"/>
      <c r="D18" s="34"/>
    </row>
    <row r="19" spans="1:9" s="81" customFormat="1" ht="15.75" customHeight="1" x14ac:dyDescent="0.2">
      <c r="A19" s="162" t="s">
        <v>95</v>
      </c>
      <c r="B19" s="162"/>
      <c r="C19" s="162"/>
      <c r="D19" s="162"/>
    </row>
    <row r="20" spans="1:9" s="81" customFormat="1" ht="15.75" customHeight="1" x14ac:dyDescent="0.2">
      <c r="A20" s="162" t="s">
        <v>96</v>
      </c>
      <c r="B20" s="162"/>
      <c r="C20" s="162"/>
      <c r="D20" s="162"/>
    </row>
    <row r="21" spans="1:9" ht="15.75" customHeight="1" x14ac:dyDescent="0.2">
      <c r="A21" s="81"/>
      <c r="C21" s="81"/>
    </row>
    <row r="22" spans="1:9" ht="15.75" customHeight="1" x14ac:dyDescent="0.25">
      <c r="A22" s="161" t="s">
        <v>97</v>
      </c>
      <c r="B22" s="161"/>
      <c r="C22" s="161"/>
      <c r="D22" s="161"/>
      <c r="E22" s="161"/>
      <c r="F22" s="161"/>
    </row>
    <row r="23" spans="1:9" ht="15.75" customHeight="1" x14ac:dyDescent="0.25">
      <c r="A23" s="161" t="s">
        <v>98</v>
      </c>
      <c r="B23" s="161"/>
      <c r="C23" s="161"/>
      <c r="D23" s="161"/>
      <c r="E23" s="161"/>
      <c r="F23" s="161"/>
      <c r="G23" s="161"/>
      <c r="H23" s="161"/>
      <c r="I23" s="161"/>
    </row>
    <row r="24" spans="1:9" ht="15.75" customHeight="1" x14ac:dyDescent="0.2">
      <c r="A24" s="81"/>
      <c r="C24" s="81"/>
    </row>
    <row r="25" spans="1:9" ht="15.75" customHeight="1" x14ac:dyDescent="0.2">
      <c r="A25" s="82"/>
      <c r="B25" s="79"/>
      <c r="C25" s="33">
        <f>1/0.071</f>
        <v>14.084507042253522</v>
      </c>
    </row>
    <row r="26" spans="1:9" ht="15.75" customHeight="1" x14ac:dyDescent="0.2">
      <c r="A26" s="162"/>
      <c r="B26" s="162"/>
      <c r="C26" s="162"/>
    </row>
    <row r="27" spans="1:9" ht="15.75" customHeight="1" x14ac:dyDescent="0.2">
      <c r="A27" s="32" t="s">
        <v>99</v>
      </c>
      <c r="B27" s="83" t="s">
        <v>100</v>
      </c>
      <c r="C27" s="83" t="s">
        <v>101</v>
      </c>
      <c r="D27" s="83" t="s">
        <v>102</v>
      </c>
      <c r="E27" s="83" t="s">
        <v>103</v>
      </c>
    </row>
    <row r="28" spans="1:9" ht="15.75" customHeight="1" x14ac:dyDescent="0.2">
      <c r="A28" s="32" t="s">
        <v>104</v>
      </c>
      <c r="B28" s="84">
        <f>C28*D28</f>
        <v>5.7100925754850304E-2</v>
      </c>
      <c r="C28" s="83">
        <v>265</v>
      </c>
      <c r="D28" s="32">
        <v>2.15475191527737E-4</v>
      </c>
      <c r="E28" s="85">
        <f>1+((1.855*B28)/0.3)</f>
        <v>1.3530740575841578</v>
      </c>
      <c r="F28" s="83" t="s">
        <v>105</v>
      </c>
      <c r="G28" s="32">
        <v>1.546946983194393E-5</v>
      </c>
    </row>
    <row r="29" spans="1:9" ht="15.75" customHeight="1" x14ac:dyDescent="0.2">
      <c r="A29" s="32" t="s">
        <v>106</v>
      </c>
      <c r="B29" s="84">
        <f t="shared" ref="B29:B30" si="1">C29*D29</f>
        <v>2.0254668003607278E-2</v>
      </c>
      <c r="C29" s="83">
        <v>94</v>
      </c>
      <c r="D29" s="32">
        <v>2.15475191527737E-4</v>
      </c>
      <c r="E29" s="85">
        <f t="shared" ref="E29:E30" si="2">1+((1.855*B29)/0.3)</f>
        <v>1.1252413638223051</v>
      </c>
      <c r="F29" s="83" t="s">
        <v>107</v>
      </c>
      <c r="G29" s="32">
        <v>2.15475191527737E-4</v>
      </c>
    </row>
    <row r="30" spans="1:9" x14ac:dyDescent="0.2">
      <c r="A30" s="81" t="s">
        <v>108</v>
      </c>
      <c r="B30" s="84">
        <f t="shared" si="1"/>
        <v>1.0558284384859113E-2</v>
      </c>
      <c r="C30" s="83">
        <v>49</v>
      </c>
      <c r="D30" s="32">
        <v>2.15475191527737E-4</v>
      </c>
      <c r="E30" s="85">
        <f t="shared" si="2"/>
        <v>1.0652853917797123</v>
      </c>
    </row>
    <row r="31" spans="1:9" x14ac:dyDescent="0.2">
      <c r="A31" s="86"/>
      <c r="B31" s="87"/>
      <c r="C31" s="83"/>
      <c r="D31" s="88"/>
    </row>
    <row r="32" spans="1:9" x14ac:dyDescent="0.2">
      <c r="A32" s="162"/>
      <c r="B32" s="162"/>
      <c r="C32" s="162"/>
    </row>
    <row r="38" spans="3:3" x14ac:dyDescent="0.2">
      <c r="C38" s="33">
        <v>0.02</v>
      </c>
    </row>
  </sheetData>
  <mergeCells count="10">
    <mergeCell ref="A22:F22"/>
    <mergeCell ref="A23:I23"/>
    <mergeCell ref="A26:C26"/>
    <mergeCell ref="A32:C32"/>
    <mergeCell ref="A1:F1"/>
    <mergeCell ref="A2:F2"/>
    <mergeCell ref="A3:F3"/>
    <mergeCell ref="A4:F4"/>
    <mergeCell ref="A19:D19"/>
    <mergeCell ref="A20:D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07545-E59C-4416-B5A8-28805FCABEB2}">
  <dimension ref="A1:AD148"/>
  <sheetViews>
    <sheetView tabSelected="1" zoomScaleNormal="100" workbookViewId="0">
      <selection activeCell="A99" sqref="A99:XFD99"/>
    </sheetView>
  </sheetViews>
  <sheetFormatPr defaultColWidth="8.6640625" defaultRowHeight="12.75" x14ac:dyDescent="0.2"/>
  <cols>
    <col min="1" max="1" width="19.33203125" style="24" customWidth="1"/>
    <col min="2" max="3" width="12.33203125" style="24" customWidth="1"/>
    <col min="4" max="4" width="10.33203125" style="24" bestFit="1" customWidth="1"/>
    <col min="5" max="5" width="8.6640625" style="24"/>
    <col min="6" max="6" width="11" style="24" bestFit="1" customWidth="1"/>
    <col min="7" max="7" width="11.1640625" style="24" bestFit="1" customWidth="1"/>
    <col min="8" max="8" width="11" style="24" bestFit="1" customWidth="1"/>
    <col min="9" max="9" width="11" style="24" customWidth="1"/>
    <col min="10" max="10" width="13.5" style="24" customWidth="1"/>
    <col min="11" max="11" width="13.5" style="25" customWidth="1"/>
    <col min="12" max="12" width="10.6640625" style="25" customWidth="1"/>
    <col min="13" max="13" width="11.6640625" style="25" customWidth="1"/>
    <col min="14" max="15" width="8.6640625" style="25"/>
    <col min="16" max="16" width="10.5" style="25" customWidth="1"/>
    <col min="17" max="16384" width="8.6640625" style="25"/>
  </cols>
  <sheetData>
    <row r="1" spans="13:30" x14ac:dyDescent="0.2">
      <c r="N1" s="23" t="s">
        <v>40</v>
      </c>
      <c r="O1" s="23" t="s">
        <v>41</v>
      </c>
      <c r="P1" s="23" t="s">
        <v>42</v>
      </c>
      <c r="Q1" s="23" t="s">
        <v>43</v>
      </c>
      <c r="R1" s="24"/>
      <c r="S1" s="23" t="s">
        <v>41</v>
      </c>
      <c r="T1" s="23" t="s">
        <v>42</v>
      </c>
      <c r="U1" s="23" t="s">
        <v>43</v>
      </c>
      <c r="W1" s="89" t="s">
        <v>113</v>
      </c>
      <c r="Y1" s="94" t="s">
        <v>113</v>
      </c>
      <c r="Z1" s="94" t="s">
        <v>115</v>
      </c>
      <c r="AA1" s="94" t="s">
        <v>116</v>
      </c>
      <c r="AB1" s="94" t="s">
        <v>113</v>
      </c>
      <c r="AC1" s="94" t="s">
        <v>115</v>
      </c>
      <c r="AD1" s="94" t="s">
        <v>116</v>
      </c>
    </row>
    <row r="2" spans="13:30" x14ac:dyDescent="0.2">
      <c r="M2" s="100" t="s">
        <v>123</v>
      </c>
      <c r="N2" s="26">
        <v>0.3</v>
      </c>
      <c r="O2" s="26"/>
      <c r="P2" s="31"/>
      <c r="Q2" s="31"/>
      <c r="R2" s="24"/>
      <c r="S2" s="26"/>
      <c r="T2" s="26"/>
      <c r="U2" s="26"/>
      <c r="W2" s="25">
        <v>0.35</v>
      </c>
      <c r="Y2" s="90">
        <v>0.35</v>
      </c>
      <c r="Z2" s="90">
        <v>3</v>
      </c>
      <c r="AA2" s="91">
        <v>0.3</v>
      </c>
      <c r="AB2" s="90">
        <v>0.35</v>
      </c>
      <c r="AC2" s="90">
        <v>3</v>
      </c>
      <c r="AD2" s="91">
        <v>0.3</v>
      </c>
    </row>
    <row r="3" spans="13:30" x14ac:dyDescent="0.2">
      <c r="M3" s="100" t="s">
        <v>125</v>
      </c>
      <c r="N3" s="96">
        <v>1.6</v>
      </c>
      <c r="O3" s="96">
        <v>115.1</v>
      </c>
      <c r="P3" s="97">
        <v>23.24</v>
      </c>
      <c r="Q3" s="97">
        <v>93.41</v>
      </c>
      <c r="R3" s="98"/>
      <c r="S3" s="96">
        <f>(0.453592/28.3168)*O3</f>
        <v>1.843726664029834</v>
      </c>
      <c r="T3" s="96">
        <f>P3</f>
        <v>23.24</v>
      </c>
      <c r="U3" s="96">
        <f>(0.453592/28.3168)*Q3</f>
        <v>1.4962859051870268</v>
      </c>
      <c r="V3" s="25">
        <f>1-(S3/2.65)</f>
        <v>0.30425408904534568</v>
      </c>
      <c r="W3" s="25">
        <v>0.7</v>
      </c>
      <c r="Y3" s="90">
        <v>0.7</v>
      </c>
      <c r="Z3" s="90">
        <v>0</v>
      </c>
      <c r="AA3" s="91">
        <v>0.3</v>
      </c>
      <c r="AB3" s="90">
        <v>1.05</v>
      </c>
      <c r="AC3" s="90">
        <v>2</v>
      </c>
      <c r="AD3" s="91">
        <v>0.5</v>
      </c>
    </row>
    <row r="4" spans="13:30" x14ac:dyDescent="0.2">
      <c r="M4" s="100" t="s">
        <v>126</v>
      </c>
      <c r="N4" s="96">
        <v>2.9</v>
      </c>
      <c r="O4" s="96">
        <v>122.5</v>
      </c>
      <c r="P4" s="97">
        <v>20.399999999999999</v>
      </c>
      <c r="Q4" s="97">
        <v>102.2</v>
      </c>
      <c r="R4" s="98"/>
      <c r="S4" s="96">
        <f t="shared" ref="S4" si="0">(0.453592/28.3168)*O4</f>
        <v>1.9622633913436547</v>
      </c>
      <c r="T4" s="96">
        <f t="shared" ref="T4" si="1">P4</f>
        <v>20.399999999999999</v>
      </c>
      <c r="U4" s="96">
        <f t="shared" ref="U4" si="2">(0.453592/28.3168)*Q4</f>
        <v>1.6370883150638491</v>
      </c>
      <c r="V4" s="25">
        <f t="shared" ref="V4:V5" si="3">1-(S4/2.65)</f>
        <v>0.25952324854956421</v>
      </c>
      <c r="W4" s="25">
        <v>1.05</v>
      </c>
      <c r="Y4" s="90">
        <v>1.05</v>
      </c>
      <c r="Z4" s="90">
        <v>2</v>
      </c>
      <c r="AA4" s="91">
        <v>0.5</v>
      </c>
      <c r="AB4" s="90">
        <v>1.75</v>
      </c>
      <c r="AC4" s="90">
        <v>2</v>
      </c>
      <c r="AD4" s="91">
        <v>0.7</v>
      </c>
    </row>
    <row r="5" spans="13:30" x14ac:dyDescent="0.2">
      <c r="M5" s="100" t="s">
        <v>127</v>
      </c>
      <c r="N5" s="26">
        <v>3.1</v>
      </c>
      <c r="O5" s="24">
        <v>99.62</v>
      </c>
      <c r="P5" s="24">
        <v>49.41</v>
      </c>
      <c r="Q5" s="24">
        <v>66.7</v>
      </c>
      <c r="S5" s="96">
        <f>(0.453592/28.3168)*O5</f>
        <v>1.5957606452706523</v>
      </c>
      <c r="T5" s="96">
        <f>P5</f>
        <v>49.41</v>
      </c>
      <c r="U5" s="96">
        <f>(0.453592/28.3168)*Q5</f>
        <v>1.06843239349079</v>
      </c>
      <c r="V5" s="25">
        <f t="shared" si="3"/>
        <v>0.39782617159598022</v>
      </c>
      <c r="W5" s="25">
        <v>1.4</v>
      </c>
      <c r="Y5" s="90">
        <v>1.4</v>
      </c>
      <c r="Z5" s="90">
        <v>0</v>
      </c>
      <c r="AA5" s="91">
        <v>0.5</v>
      </c>
      <c r="AB5" s="90">
        <v>3.15</v>
      </c>
      <c r="AC5" s="90">
        <v>2</v>
      </c>
      <c r="AD5" s="91">
        <v>0.9</v>
      </c>
    </row>
    <row r="6" spans="13:30" x14ac:dyDescent="0.2">
      <c r="M6" s="99" t="s">
        <v>124</v>
      </c>
      <c r="N6" s="96">
        <v>0.2</v>
      </c>
      <c r="O6" s="96"/>
      <c r="P6" s="97"/>
      <c r="Q6" s="97"/>
      <c r="R6" s="98"/>
      <c r="S6" s="96"/>
      <c r="T6" s="96"/>
      <c r="U6" s="96"/>
      <c r="W6" s="25">
        <v>1.75</v>
      </c>
      <c r="Y6" s="90">
        <v>1.75</v>
      </c>
      <c r="Z6" s="90">
        <v>2</v>
      </c>
      <c r="AA6" s="91">
        <v>0.7</v>
      </c>
      <c r="AB6" s="90">
        <v>3.85</v>
      </c>
      <c r="AC6" s="90">
        <v>1</v>
      </c>
      <c r="AD6" s="91">
        <v>1</v>
      </c>
    </row>
    <row r="7" spans="13:30" x14ac:dyDescent="0.2">
      <c r="M7" s="100" t="s">
        <v>118</v>
      </c>
      <c r="N7" s="26">
        <v>1E-4</v>
      </c>
      <c r="O7" s="27"/>
      <c r="P7" s="27"/>
      <c r="Q7" s="27"/>
      <c r="R7" s="24"/>
      <c r="S7" s="27"/>
      <c r="T7" s="27"/>
      <c r="U7" s="27"/>
      <c r="W7" s="25">
        <v>2.1</v>
      </c>
      <c r="Y7" s="90">
        <v>2.1</v>
      </c>
      <c r="Z7" s="90">
        <v>0</v>
      </c>
      <c r="AA7" s="91">
        <v>0.7</v>
      </c>
      <c r="AB7" s="90">
        <v>0.7</v>
      </c>
      <c r="AC7" s="90">
        <v>0</v>
      </c>
      <c r="AD7" s="91">
        <v>1</v>
      </c>
    </row>
    <row r="8" spans="13:30" x14ac:dyDescent="0.2">
      <c r="M8" s="100" t="s">
        <v>119</v>
      </c>
      <c r="N8" s="26">
        <v>1.7</v>
      </c>
      <c r="O8" s="24"/>
      <c r="P8" s="24"/>
      <c r="Q8" s="24"/>
      <c r="R8" s="24"/>
      <c r="S8" s="24"/>
      <c r="T8" s="24"/>
      <c r="U8" s="24"/>
      <c r="W8" s="25">
        <v>2.4500000000000002</v>
      </c>
      <c r="Y8" s="90">
        <v>2.4500000000000002</v>
      </c>
      <c r="Z8" s="90">
        <v>0</v>
      </c>
      <c r="AA8" s="91">
        <v>0.7</v>
      </c>
      <c r="AB8" s="90">
        <v>1.4</v>
      </c>
      <c r="AC8" s="90">
        <v>0</v>
      </c>
      <c r="AD8" s="91">
        <v>1</v>
      </c>
    </row>
    <row r="9" spans="13:30" x14ac:dyDescent="0.2">
      <c r="M9" s="100" t="s">
        <v>120</v>
      </c>
      <c r="N9" s="26">
        <v>1</v>
      </c>
      <c r="O9" s="24"/>
      <c r="P9" s="24"/>
      <c r="Q9" s="24"/>
      <c r="R9" s="24"/>
      <c r="S9" s="24"/>
      <c r="T9" s="24"/>
      <c r="U9" s="24"/>
      <c r="W9" s="25">
        <v>2.8</v>
      </c>
      <c r="Y9" s="90">
        <v>2.8</v>
      </c>
      <c r="Z9" s="90">
        <v>0</v>
      </c>
      <c r="AA9" s="91">
        <v>0.7</v>
      </c>
      <c r="AB9" s="90">
        <v>2.1</v>
      </c>
      <c r="AC9" s="90">
        <v>0</v>
      </c>
      <c r="AD9" s="91">
        <v>1</v>
      </c>
    </row>
    <row r="10" spans="13:30" x14ac:dyDescent="0.2">
      <c r="M10" s="100" t="s">
        <v>121</v>
      </c>
      <c r="N10" s="26">
        <v>3.6</v>
      </c>
      <c r="O10" s="26"/>
      <c r="P10" s="31"/>
      <c r="Q10" s="31"/>
      <c r="R10" s="24"/>
      <c r="S10" s="26"/>
      <c r="T10" s="26"/>
      <c r="U10" s="26"/>
      <c r="W10" s="25">
        <v>3.15</v>
      </c>
      <c r="Y10" s="90">
        <v>3.15</v>
      </c>
      <c r="Z10" s="90">
        <v>2</v>
      </c>
      <c r="AA10" s="91">
        <v>0.9</v>
      </c>
      <c r="AB10" s="90">
        <v>2.4500000000000002</v>
      </c>
      <c r="AC10" s="90">
        <v>0</v>
      </c>
      <c r="AD10" s="91">
        <v>1</v>
      </c>
    </row>
    <row r="11" spans="13:30" x14ac:dyDescent="0.2">
      <c r="M11" s="100" t="s">
        <v>122</v>
      </c>
      <c r="N11" s="26">
        <v>0.9</v>
      </c>
      <c r="O11" s="26">
        <v>122.5</v>
      </c>
      <c r="P11" s="31">
        <v>20.04</v>
      </c>
      <c r="Q11" s="31">
        <v>102</v>
      </c>
      <c r="R11" s="24"/>
      <c r="S11" s="26">
        <f>(0.453592/28.3168)*O11</f>
        <v>1.9622633913436547</v>
      </c>
      <c r="T11" s="26">
        <f>P11</f>
        <v>20.04</v>
      </c>
      <c r="U11" s="26">
        <f>(0.453592/28.3168)*Q11</f>
        <v>1.633884619731043</v>
      </c>
      <c r="V11" s="25">
        <f t="shared" ref="V11" si="4">1-(S11/2.65)</f>
        <v>0.25952324854956421</v>
      </c>
      <c r="W11" s="25">
        <v>3.5</v>
      </c>
      <c r="Y11" s="90">
        <v>3.5</v>
      </c>
      <c r="Z11" s="90">
        <v>0</v>
      </c>
      <c r="AA11" s="91">
        <v>0.9</v>
      </c>
      <c r="AB11" s="90">
        <v>2.8</v>
      </c>
      <c r="AC11" s="90">
        <v>0</v>
      </c>
      <c r="AD11" s="91">
        <v>1</v>
      </c>
    </row>
    <row r="12" spans="13:30" x14ac:dyDescent="0.2">
      <c r="N12" s="28">
        <f>GEOMEAN(N2:N11)</f>
        <v>0.46526725199722618</v>
      </c>
      <c r="O12" s="30" t="s">
        <v>44</v>
      </c>
      <c r="P12" s="29">
        <f>N12/100</f>
        <v>4.6526725199722615E-3</v>
      </c>
      <c r="Q12" s="24"/>
      <c r="R12" s="30" t="s">
        <v>44</v>
      </c>
      <c r="S12" s="156">
        <f>GEOMEAN(S3,S4,S5,S11)</f>
        <v>1.834614081054655</v>
      </c>
      <c r="T12" s="28">
        <f t="shared" ref="T12:U12" si="5">GEOMEAN(T3,T4,T5,T11)</f>
        <v>26.175483684976715</v>
      </c>
      <c r="U12" s="28">
        <f t="shared" si="5"/>
        <v>1.4380162087483195</v>
      </c>
      <c r="V12" s="28">
        <f t="shared" ref="V12" si="6">GEOMEAN(V3,V4,V5,V11)</f>
        <v>0.30048346450227403</v>
      </c>
      <c r="W12" s="25">
        <v>3.85</v>
      </c>
      <c r="Y12" s="90">
        <v>3.85</v>
      </c>
      <c r="Z12" s="90">
        <v>1</v>
      </c>
      <c r="AA12" s="91">
        <v>1</v>
      </c>
      <c r="AB12" s="90">
        <v>3.5</v>
      </c>
      <c r="AC12" s="90">
        <v>0</v>
      </c>
      <c r="AD12" s="91">
        <v>1</v>
      </c>
    </row>
    <row r="13" spans="13:30" ht="13.5" thickBot="1" x14ac:dyDescent="0.25">
      <c r="N13" s="28">
        <f>AVERAGE(N2:N11)</f>
        <v>1.5300099999999999</v>
      </c>
      <c r="O13" s="30" t="s">
        <v>45</v>
      </c>
      <c r="P13" s="29">
        <f t="shared" ref="P13:P14" si="7">N13/100</f>
        <v>1.5300099999999999E-2</v>
      </c>
      <c r="Q13" s="24"/>
      <c r="R13" s="30" t="s">
        <v>45</v>
      </c>
      <c r="S13" s="28">
        <f>AVERAGE(S3,S4,S5,S11)</f>
        <v>1.8410035229969488</v>
      </c>
      <c r="T13" s="28">
        <f t="shared" ref="T13:U13" si="8">AVERAGE(T3,T4,T5,T11)</f>
        <v>28.272500000000001</v>
      </c>
      <c r="U13" s="28">
        <f t="shared" si="8"/>
        <v>1.4589228083681771</v>
      </c>
      <c r="V13" s="28">
        <f t="shared" ref="V13" si="9">AVERAGE(V3,V4,V5,V11)</f>
        <v>0.30528168943511358</v>
      </c>
      <c r="Y13" s="92" t="s">
        <v>114</v>
      </c>
      <c r="Z13" s="92">
        <v>0</v>
      </c>
      <c r="AA13" s="93">
        <v>1</v>
      </c>
      <c r="AB13" s="92" t="s">
        <v>114</v>
      </c>
      <c r="AC13" s="92">
        <v>0</v>
      </c>
      <c r="AD13" s="93">
        <v>1</v>
      </c>
    </row>
    <row r="14" spans="13:30" x14ac:dyDescent="0.2">
      <c r="N14" s="28">
        <f>MEDIAN(N2:N11)</f>
        <v>1.3</v>
      </c>
      <c r="O14" s="30" t="s">
        <v>46</v>
      </c>
      <c r="P14" s="29">
        <f t="shared" si="7"/>
        <v>1.3000000000000001E-2</v>
      </c>
      <c r="Q14" s="24"/>
      <c r="R14" s="30" t="s">
        <v>46</v>
      </c>
      <c r="S14" s="28">
        <f>MEDIAN(S3,S4,S5,S11)</f>
        <v>1.9029950276867442</v>
      </c>
      <c r="T14" s="28">
        <f t="shared" ref="T14:U14" si="10">MEDIAN(T3,T4,T5,T11)</f>
        <v>21.82</v>
      </c>
      <c r="U14" s="28">
        <f t="shared" si="10"/>
        <v>1.5650852624590348</v>
      </c>
      <c r="V14" s="28">
        <f t="shared" ref="V14" si="11">MEDIAN(V3,V4,V5,V11)</f>
        <v>0.28188866879745494</v>
      </c>
    </row>
    <row r="15" spans="13:30" x14ac:dyDescent="0.2">
      <c r="P15" s="25">
        <v>3.0000000000000001E-3</v>
      </c>
    </row>
    <row r="17" spans="1:20" x14ac:dyDescent="0.2">
      <c r="N17" s="12"/>
      <c r="O17" s="12"/>
      <c r="P17" s="20"/>
      <c r="Q17" s="20"/>
      <c r="R17" s="20"/>
      <c r="S17" s="20"/>
      <c r="T17" s="21"/>
    </row>
    <row r="18" spans="1:20" x14ac:dyDescent="0.2">
      <c r="N18" s="12"/>
      <c r="O18" s="12"/>
      <c r="P18" s="20"/>
      <c r="Q18" s="11"/>
      <c r="R18" s="20"/>
      <c r="S18" s="20"/>
      <c r="T18" s="21"/>
    </row>
    <row r="19" spans="1:20" x14ac:dyDescent="0.2">
      <c r="N19" s="12"/>
      <c r="O19" s="20"/>
      <c r="P19" s="20"/>
      <c r="Q19" s="20"/>
      <c r="R19" s="20"/>
      <c r="S19" s="20"/>
      <c r="T19" s="21"/>
    </row>
    <row r="22" spans="1:20" ht="15" customHeight="1" thickBot="1" x14ac:dyDescent="0.25"/>
    <row r="23" spans="1:20" ht="27" thickTop="1" thickBot="1" x14ac:dyDescent="0.25">
      <c r="A23" s="35" t="s">
        <v>49</v>
      </c>
      <c r="B23" s="36" t="s">
        <v>50</v>
      </c>
      <c r="C23" s="37" t="s">
        <v>109</v>
      </c>
      <c r="E23" s="169" t="s">
        <v>134</v>
      </c>
      <c r="F23" s="170"/>
      <c r="G23" s="175" t="s">
        <v>159</v>
      </c>
      <c r="H23" s="176"/>
      <c r="I23" s="183" t="s">
        <v>173</v>
      </c>
      <c r="J23" s="184"/>
      <c r="K23" s="177" t="s">
        <v>133</v>
      </c>
      <c r="L23" s="178"/>
    </row>
    <row r="24" spans="1:20" ht="37.700000000000003" customHeight="1" thickTop="1" thickBot="1" x14ac:dyDescent="0.25">
      <c r="A24" s="42" t="s">
        <v>57</v>
      </c>
      <c r="B24" s="43" t="s">
        <v>58</v>
      </c>
      <c r="C24" s="44" t="s">
        <v>59</v>
      </c>
      <c r="E24" s="171"/>
      <c r="F24" s="172"/>
      <c r="G24" s="101" t="s">
        <v>111</v>
      </c>
      <c r="H24" s="101" t="s">
        <v>112</v>
      </c>
      <c r="I24" s="101" t="s">
        <v>160</v>
      </c>
      <c r="J24" s="101"/>
      <c r="K24" s="179" t="s">
        <v>132</v>
      </c>
      <c r="L24" s="180"/>
    </row>
    <row r="25" spans="1:20" ht="13.5" thickBot="1" x14ac:dyDescent="0.25">
      <c r="A25" s="42" t="s">
        <v>65</v>
      </c>
      <c r="B25" s="49" t="s">
        <v>66</v>
      </c>
      <c r="C25" s="44">
        <v>165.85</v>
      </c>
      <c r="E25" s="171"/>
      <c r="F25" s="172"/>
      <c r="G25" s="102" t="s">
        <v>130</v>
      </c>
      <c r="H25" s="102" t="s">
        <v>130</v>
      </c>
      <c r="I25" s="102" t="s">
        <v>130</v>
      </c>
      <c r="J25" s="102"/>
      <c r="K25" s="102" t="s">
        <v>130</v>
      </c>
      <c r="L25" s="103" t="s">
        <v>131</v>
      </c>
    </row>
    <row r="26" spans="1:20" ht="25.7" customHeight="1" thickBot="1" x14ac:dyDescent="0.25">
      <c r="A26" s="52" t="s">
        <v>67</v>
      </c>
      <c r="B26" s="53" t="s">
        <v>68</v>
      </c>
      <c r="C26" s="54">
        <v>1.625</v>
      </c>
      <c r="E26" s="173" t="s">
        <v>110</v>
      </c>
      <c r="F26" s="174"/>
      <c r="G26" s="104">
        <f>$C$27/$S$12*($C$28*P15*$S$12)</f>
        <v>166.95000000000002</v>
      </c>
      <c r="H26" s="154">
        <f t="shared" ref="H26:H32" si="12">G26*0.1</f>
        <v>16.695000000000004</v>
      </c>
      <c r="I26" s="155">
        <f>$C$27/$S$12*($V12)</f>
        <v>34.394987042289955</v>
      </c>
      <c r="J26" s="105"/>
      <c r="K26" s="104">
        <f>G26+(0.05*$V$12*$C$26*10^6)/($S$12)</f>
        <v>13474.534272314568</v>
      </c>
      <c r="L26" s="106">
        <f t="shared" ref="L26:L32" si="13">K26/1000</f>
        <v>13.474534272314568</v>
      </c>
    </row>
    <row r="27" spans="1:20" ht="26.25" thickBot="1" x14ac:dyDescent="0.25">
      <c r="A27" s="52" t="s">
        <v>69</v>
      </c>
      <c r="B27" s="53" t="s">
        <v>70</v>
      </c>
      <c r="C27" s="54">
        <v>210</v>
      </c>
      <c r="E27" s="181" t="s">
        <v>128</v>
      </c>
      <c r="F27" s="182"/>
      <c r="G27" s="104">
        <f>$C$27/$S$12*($C$28*P13*$S$12)</f>
        <v>851.45056499999998</v>
      </c>
      <c r="H27" s="105">
        <f>G27*0.1</f>
        <v>85.14505650000001</v>
      </c>
      <c r="I27" s="104">
        <f t="shared" ref="I27:I28" si="14">$C$27/$S$12*($V13)</f>
        <v>34.944218211014579</v>
      </c>
      <c r="J27" s="105"/>
      <c r="K27" s="104">
        <f t="shared" ref="K27:K30" si="15">G27+(0.05*$V$12*$C$26*10^6)/($S$12)</f>
        <v>14159.034837314566</v>
      </c>
      <c r="L27" s="106">
        <f t="shared" si="13"/>
        <v>14.159034837314566</v>
      </c>
    </row>
    <row r="28" spans="1:20" ht="27.75" thickBot="1" x14ac:dyDescent="0.25">
      <c r="A28" s="52" t="s">
        <v>72</v>
      </c>
      <c r="B28" s="53" t="s">
        <v>73</v>
      </c>
      <c r="C28" s="63">
        <v>265</v>
      </c>
      <c r="E28" s="181" t="s">
        <v>129</v>
      </c>
      <c r="F28" s="182"/>
      <c r="G28" s="104">
        <f>$C$27/$S$12*($C$28*P14*$S$12)</f>
        <v>723.45</v>
      </c>
      <c r="H28" s="105">
        <f t="shared" ref="H28" si="16">G28*0.1</f>
        <v>72.345000000000013</v>
      </c>
      <c r="I28" s="104">
        <f t="shared" si="14"/>
        <v>32.266524637942105</v>
      </c>
      <c r="J28" s="105"/>
      <c r="K28" s="104">
        <f t="shared" si="15"/>
        <v>14031.034272314568</v>
      </c>
      <c r="L28" s="106">
        <f t="shared" si="13"/>
        <v>14.031034272314567</v>
      </c>
    </row>
    <row r="29" spans="1:20" ht="26.25" thickBot="1" x14ac:dyDescent="0.25">
      <c r="A29" s="52" t="s">
        <v>74</v>
      </c>
      <c r="B29" s="53" t="s">
        <v>75</v>
      </c>
      <c r="C29" s="66">
        <v>1.84E-2</v>
      </c>
      <c r="E29" s="165" t="s">
        <v>125</v>
      </c>
      <c r="F29" s="166"/>
      <c r="G29" s="104">
        <f>$C$27/$S$12*($C$28*$S3*N3/100)</f>
        <v>894.82264341306882</v>
      </c>
      <c r="H29" s="105">
        <f t="shared" si="12"/>
        <v>89.482264341306887</v>
      </c>
      <c r="I29" s="105"/>
      <c r="J29" s="105"/>
      <c r="K29" s="104">
        <f t="shared" si="15"/>
        <v>14202.406915727635</v>
      </c>
      <c r="L29" s="106">
        <f t="shared" si="13"/>
        <v>14.202406915727636</v>
      </c>
    </row>
    <row r="30" spans="1:20" ht="40.5" thickBot="1" x14ac:dyDescent="0.25">
      <c r="A30" s="52" t="s">
        <v>76</v>
      </c>
      <c r="B30" s="53" t="s">
        <v>77</v>
      </c>
      <c r="C30" s="69">
        <f>C29/(0.0000820575*(273+25))</f>
        <v>0.75245975618259164</v>
      </c>
      <c r="E30" s="165" t="s">
        <v>126</v>
      </c>
      <c r="F30" s="166"/>
      <c r="G30" s="104">
        <f>$C$27/$S$12*($C$28*$S4*N4/100)</f>
        <v>1726.1389230695736</v>
      </c>
      <c r="H30" s="105">
        <f t="shared" si="12"/>
        <v>172.61389230695738</v>
      </c>
      <c r="I30" s="105"/>
      <c r="J30" s="105"/>
      <c r="K30" s="104">
        <f t="shared" si="15"/>
        <v>15033.72319538414</v>
      </c>
      <c r="L30" s="106">
        <f t="shared" si="13"/>
        <v>15.033723195384139</v>
      </c>
    </row>
    <row r="31" spans="1:20" ht="16.5" thickBot="1" x14ac:dyDescent="0.25">
      <c r="A31" s="52" t="s">
        <v>78</v>
      </c>
      <c r="B31" s="53" t="s">
        <v>75</v>
      </c>
      <c r="C31" s="54" t="s">
        <v>79</v>
      </c>
      <c r="E31" s="165" t="s">
        <v>127</v>
      </c>
      <c r="F31" s="166"/>
      <c r="G31" s="104">
        <f>$C$27/$S$12*($C$28*$S5*N5/100)</f>
        <v>1500.5479929632427</v>
      </c>
      <c r="H31" s="105">
        <f t="shared" si="12"/>
        <v>150.05479929632426</v>
      </c>
      <c r="I31" s="105"/>
      <c r="J31" s="105"/>
      <c r="K31" s="104">
        <f>G31+(0.05*$V$12*$C$26*10^6)/($S$12)</f>
        <v>14808.132265277809</v>
      </c>
      <c r="L31" s="106">
        <f t="shared" si="13"/>
        <v>14.808132265277809</v>
      </c>
    </row>
    <row r="32" spans="1:20" ht="27.75" thickBot="1" x14ac:dyDescent="0.25">
      <c r="A32" s="52" t="s">
        <v>82</v>
      </c>
      <c r="B32" s="53" t="s">
        <v>83</v>
      </c>
      <c r="C32" s="54">
        <v>18.399999999999999</v>
      </c>
      <c r="E32" s="167" t="s">
        <v>122</v>
      </c>
      <c r="F32" s="168"/>
      <c r="G32" s="107">
        <f>$C$27/$S$12*($C$28*$S$11*N11/100)</f>
        <v>535.69828646986764</v>
      </c>
      <c r="H32" s="108">
        <f t="shared" si="12"/>
        <v>53.569828646986764</v>
      </c>
      <c r="I32" s="108"/>
      <c r="J32" s="108"/>
      <c r="K32" s="104">
        <f>G32+(0.05*$V$12*$C$26*10^6)/($S$12)</f>
        <v>13843.282558784435</v>
      </c>
      <c r="L32" s="109">
        <f t="shared" si="13"/>
        <v>13.843282558784434</v>
      </c>
    </row>
    <row r="33" spans="1:12" ht="15" thickTop="1" x14ac:dyDescent="0.2">
      <c r="A33" s="52" t="s">
        <v>84</v>
      </c>
      <c r="B33" s="53" t="s">
        <v>83</v>
      </c>
      <c r="C33" s="54" t="s">
        <v>85</v>
      </c>
      <c r="L33" s="31"/>
    </row>
    <row r="34" spans="1:12" ht="39" thickBot="1" x14ac:dyDescent="0.25">
      <c r="A34" s="73" t="s">
        <v>87</v>
      </c>
      <c r="B34" s="74" t="s">
        <v>88</v>
      </c>
      <c r="C34" s="75" t="s">
        <v>89</v>
      </c>
      <c r="K34" s="24"/>
    </row>
    <row r="42" spans="1:12" ht="36" x14ac:dyDescent="0.2">
      <c r="A42" s="2" t="s">
        <v>1</v>
      </c>
      <c r="B42" s="95" t="s">
        <v>117</v>
      </c>
      <c r="C42" s="10" t="s">
        <v>18</v>
      </c>
      <c r="D42" s="10" t="s">
        <v>20</v>
      </c>
      <c r="E42" s="10" t="s">
        <v>21</v>
      </c>
      <c r="F42" s="16" t="s">
        <v>22</v>
      </c>
      <c r="G42" s="10" t="s">
        <v>23</v>
      </c>
      <c r="H42" s="17" t="s">
        <v>24</v>
      </c>
      <c r="I42" s="114"/>
      <c r="J42" s="114"/>
    </row>
    <row r="43" spans="1:12" x14ac:dyDescent="0.2">
      <c r="A43" s="3" t="s">
        <v>25</v>
      </c>
      <c r="B43" s="12">
        <v>0.3</v>
      </c>
      <c r="C43" s="14" t="s">
        <v>19</v>
      </c>
      <c r="D43" s="14" t="s">
        <v>19</v>
      </c>
      <c r="E43" s="14" t="s">
        <v>19</v>
      </c>
      <c r="F43" s="14" t="s">
        <v>19</v>
      </c>
      <c r="G43" s="14" t="s">
        <v>19</v>
      </c>
      <c r="H43" s="18" t="s">
        <v>19</v>
      </c>
      <c r="I43" s="115"/>
      <c r="J43" s="115"/>
    </row>
    <row r="44" spans="1:12" x14ac:dyDescent="0.2">
      <c r="A44" s="3" t="s">
        <v>26</v>
      </c>
      <c r="B44" s="12">
        <v>0.2</v>
      </c>
      <c r="C44" s="12">
        <v>115.1</v>
      </c>
      <c r="D44" s="20">
        <v>23.24</v>
      </c>
      <c r="E44" s="20">
        <v>93.41</v>
      </c>
      <c r="F44" s="20">
        <v>2.71</v>
      </c>
      <c r="G44" s="20">
        <v>0.45</v>
      </c>
      <c r="H44" s="21">
        <v>0.81</v>
      </c>
      <c r="I44" s="116"/>
      <c r="J44" s="116"/>
    </row>
    <row r="45" spans="1:12" x14ac:dyDescent="0.2">
      <c r="A45" s="3" t="s">
        <v>26</v>
      </c>
      <c r="B45" s="12">
        <v>1.6</v>
      </c>
      <c r="C45" s="12">
        <v>122.5</v>
      </c>
      <c r="D45" s="20">
        <v>20.04</v>
      </c>
      <c r="E45" s="11">
        <v>102</v>
      </c>
      <c r="F45" s="20">
        <v>2.76</v>
      </c>
      <c r="G45" s="20">
        <v>0.41</v>
      </c>
      <c r="H45" s="21">
        <v>0.69</v>
      </c>
      <c r="I45" s="116"/>
      <c r="J45" s="116"/>
    </row>
    <row r="46" spans="1:12" x14ac:dyDescent="0.2">
      <c r="A46" s="3" t="s">
        <v>26</v>
      </c>
      <c r="B46" s="12">
        <v>2.9</v>
      </c>
      <c r="C46" s="20">
        <v>99.62</v>
      </c>
      <c r="D46" s="20">
        <v>49.41</v>
      </c>
      <c r="E46" s="20">
        <v>66.67</v>
      </c>
      <c r="F46" s="20">
        <v>2.75</v>
      </c>
      <c r="G46" s="20">
        <v>0.61</v>
      </c>
      <c r="H46" s="21">
        <v>1.58</v>
      </c>
      <c r="I46" s="116"/>
      <c r="J46" s="116"/>
    </row>
    <row r="47" spans="1:12" x14ac:dyDescent="0.2">
      <c r="A47" s="4" t="s">
        <v>25</v>
      </c>
      <c r="B47" s="13">
        <v>3.1</v>
      </c>
      <c r="C47" s="15" t="s">
        <v>19</v>
      </c>
      <c r="D47" s="15" t="s">
        <v>19</v>
      </c>
      <c r="E47" s="15" t="s">
        <v>19</v>
      </c>
      <c r="F47" s="15" t="s">
        <v>19</v>
      </c>
      <c r="G47" s="15" t="s">
        <v>19</v>
      </c>
      <c r="H47" s="19" t="s">
        <v>19</v>
      </c>
      <c r="I47" s="115"/>
      <c r="J47" s="115"/>
    </row>
    <row r="50" spans="1:11" ht="15.75" x14ac:dyDescent="0.2">
      <c r="A50" s="24" t="s">
        <v>161</v>
      </c>
      <c r="B50" s="24" t="s">
        <v>162</v>
      </c>
      <c r="C50" s="24" t="s">
        <v>163</v>
      </c>
      <c r="D50" s="24" t="s">
        <v>164</v>
      </c>
      <c r="E50" s="24" t="s">
        <v>165</v>
      </c>
      <c r="F50" s="24" t="s">
        <v>39</v>
      </c>
      <c r="G50" s="117" t="s">
        <v>170</v>
      </c>
      <c r="H50" s="117" t="s">
        <v>169</v>
      </c>
      <c r="I50" s="100"/>
      <c r="J50" s="118" t="s">
        <v>175</v>
      </c>
      <c r="K50" s="153" t="s">
        <v>174</v>
      </c>
    </row>
    <row r="51" spans="1:11" x14ac:dyDescent="0.2">
      <c r="B51" s="24">
        <v>0.3</v>
      </c>
      <c r="C51" s="24">
        <v>1.84</v>
      </c>
      <c r="D51" s="24">
        <v>210</v>
      </c>
      <c r="E51" s="24">
        <v>265</v>
      </c>
      <c r="F51" s="24">
        <v>3.0000000000000001E-3</v>
      </c>
      <c r="G51" s="119">
        <f>E51*F51</f>
        <v>0.79500000000000004</v>
      </c>
      <c r="H51" s="119">
        <v>1.625</v>
      </c>
      <c r="J51" s="120">
        <f>(D51/C51)*((G51*C51))</f>
        <v>166.95</v>
      </c>
      <c r="K51" s="25">
        <f>B51*D51/C51</f>
        <v>34.239130434782609</v>
      </c>
    </row>
    <row r="52" spans="1:11" ht="30" customHeight="1" x14ac:dyDescent="0.2">
      <c r="B52" s="151" t="s">
        <v>171</v>
      </c>
      <c r="C52" s="118" t="s">
        <v>168</v>
      </c>
    </row>
    <row r="53" spans="1:11" x14ac:dyDescent="0.2">
      <c r="A53" s="24" t="s">
        <v>166</v>
      </c>
      <c r="B53" s="150" t="s">
        <v>167</v>
      </c>
      <c r="C53" s="117" t="s">
        <v>214</v>
      </c>
      <c r="D53" s="89" t="s">
        <v>172</v>
      </c>
      <c r="F53" s="117" t="s">
        <v>215</v>
      </c>
      <c r="G53" s="137"/>
    </row>
    <row r="54" spans="1:11" x14ac:dyDescent="0.2">
      <c r="A54" s="24">
        <v>0.5</v>
      </c>
      <c r="B54" s="152">
        <f>(C54*$C$51)/($G$51+$B$51)</f>
        <v>222602.95753424655</v>
      </c>
      <c r="C54" s="120">
        <f>($B$51*$G$51/$C$51)+(A54*$B$51*$H$51*10^6/$C$51)</f>
        <v>132472.95570652172</v>
      </c>
      <c r="D54" s="24">
        <f>IF(B54&gt;$D$51,$D$51,B54)</f>
        <v>210</v>
      </c>
      <c r="F54" s="120">
        <f>C54/1000</f>
        <v>132.47295570652173</v>
      </c>
      <c r="G54" s="137"/>
    </row>
    <row r="55" spans="1:11" x14ac:dyDescent="0.2">
      <c r="A55" s="24">
        <v>0.49</v>
      </c>
      <c r="B55" s="120">
        <f t="shared" ref="B55:B120" si="17">(C55*$C$51)/($G$51+$B$51)</f>
        <v>218150.90273972598</v>
      </c>
      <c r="C55" s="120">
        <f t="shared" ref="C55:C118" si="18">($B$51*$G$51/$C$51)+(A55*$B$51*$H$51*10^6/$C$51)</f>
        <v>129823.49918478257</v>
      </c>
      <c r="D55" s="24">
        <f t="shared" ref="D55:D62" si="19">IF(B55&gt;$D$51,$D$51,B55)</f>
        <v>210</v>
      </c>
      <c r="F55" s="120">
        <f t="shared" ref="F55:F118" si="20">C55/1000</f>
        <v>129.82349918478258</v>
      </c>
      <c r="G55" s="137"/>
    </row>
    <row r="56" spans="1:11" x14ac:dyDescent="0.2">
      <c r="A56" s="24">
        <v>0.48</v>
      </c>
      <c r="B56" s="120">
        <f t="shared" si="17"/>
        <v>213698.84794520546</v>
      </c>
      <c r="C56" s="120">
        <f t="shared" si="18"/>
        <v>127174.04266304347</v>
      </c>
      <c r="D56" s="24">
        <f t="shared" si="19"/>
        <v>210</v>
      </c>
      <c r="F56" s="120">
        <f t="shared" si="20"/>
        <v>127.17404266304347</v>
      </c>
      <c r="G56" s="137"/>
    </row>
    <row r="57" spans="1:11" x14ac:dyDescent="0.2">
      <c r="A57" s="24">
        <v>0.47</v>
      </c>
      <c r="B57" s="120">
        <f t="shared" si="17"/>
        <v>209246.79315068488</v>
      </c>
      <c r="C57" s="120">
        <f t="shared" si="18"/>
        <v>124524.58614130432</v>
      </c>
      <c r="D57" s="24">
        <f t="shared" si="19"/>
        <v>210</v>
      </c>
      <c r="F57" s="120">
        <f t="shared" si="20"/>
        <v>124.52458614130431</v>
      </c>
      <c r="G57" s="137"/>
    </row>
    <row r="58" spans="1:11" x14ac:dyDescent="0.2">
      <c r="A58" s="24">
        <v>0.46</v>
      </c>
      <c r="B58" s="120">
        <f t="shared" si="17"/>
        <v>204794.73835616439</v>
      </c>
      <c r="C58" s="120">
        <f t="shared" si="18"/>
        <v>121875.12961956521</v>
      </c>
      <c r="D58" s="24">
        <f t="shared" si="19"/>
        <v>210</v>
      </c>
      <c r="F58" s="120">
        <f t="shared" si="20"/>
        <v>121.87512961956521</v>
      </c>
      <c r="G58" s="137"/>
    </row>
    <row r="59" spans="1:11" x14ac:dyDescent="0.2">
      <c r="A59" s="24">
        <v>0.45</v>
      </c>
      <c r="B59" s="120">
        <f t="shared" si="17"/>
        <v>200342.68356164382</v>
      </c>
      <c r="C59" s="120">
        <f t="shared" si="18"/>
        <v>119225.67309782607</v>
      </c>
      <c r="D59" s="24">
        <f t="shared" si="19"/>
        <v>210</v>
      </c>
      <c r="F59" s="120">
        <f t="shared" si="20"/>
        <v>119.22567309782607</v>
      </c>
      <c r="G59" s="137"/>
    </row>
    <row r="60" spans="1:11" x14ac:dyDescent="0.2">
      <c r="A60" s="24">
        <v>0.44</v>
      </c>
      <c r="B60" s="120">
        <f t="shared" si="17"/>
        <v>195890.6287671233</v>
      </c>
      <c r="C60" s="120">
        <f t="shared" si="18"/>
        <v>116576.21657608695</v>
      </c>
      <c r="D60" s="24">
        <f t="shared" si="19"/>
        <v>210</v>
      </c>
      <c r="F60" s="120">
        <f t="shared" si="20"/>
        <v>116.57621657608695</v>
      </c>
      <c r="G60" s="137"/>
    </row>
    <row r="61" spans="1:11" x14ac:dyDescent="0.2">
      <c r="A61" s="24">
        <v>0.43</v>
      </c>
      <c r="B61" s="120">
        <f t="shared" si="17"/>
        <v>191438.57397260275</v>
      </c>
      <c r="C61" s="120">
        <f t="shared" si="18"/>
        <v>113926.76005434782</v>
      </c>
      <c r="D61" s="24">
        <f t="shared" si="19"/>
        <v>210</v>
      </c>
      <c r="F61" s="120">
        <f t="shared" si="20"/>
        <v>113.92676005434782</v>
      </c>
      <c r="G61" s="137"/>
    </row>
    <row r="62" spans="1:11" x14ac:dyDescent="0.2">
      <c r="A62" s="24">
        <v>0.42</v>
      </c>
      <c r="B62" s="120">
        <f t="shared" si="17"/>
        <v>186986.51917808218</v>
      </c>
      <c r="C62" s="120">
        <f t="shared" si="18"/>
        <v>111277.30353260868</v>
      </c>
      <c r="D62" s="24">
        <f t="shared" si="19"/>
        <v>210</v>
      </c>
      <c r="F62" s="120">
        <f t="shared" si="20"/>
        <v>111.27730353260868</v>
      </c>
      <c r="G62" s="137"/>
    </row>
    <row r="63" spans="1:11" x14ac:dyDescent="0.2">
      <c r="A63" s="24">
        <v>0.41</v>
      </c>
      <c r="B63" s="120">
        <f t="shared" si="17"/>
        <v>182534.4643835616</v>
      </c>
      <c r="C63" s="120">
        <f t="shared" si="18"/>
        <v>108627.84701086953</v>
      </c>
      <c r="D63" s="24">
        <f t="shared" ref="D63:D91" si="21">IF(B63&gt;$D$51,$D$51,B63)</f>
        <v>210</v>
      </c>
      <c r="F63" s="120">
        <f t="shared" si="20"/>
        <v>108.62784701086953</v>
      </c>
      <c r="G63" s="137"/>
    </row>
    <row r="64" spans="1:11" x14ac:dyDescent="0.2">
      <c r="A64" s="24">
        <v>0.4</v>
      </c>
      <c r="B64" s="120">
        <f t="shared" si="17"/>
        <v>178082.40958904111</v>
      </c>
      <c r="C64" s="120">
        <f t="shared" si="18"/>
        <v>105978.39048913043</v>
      </c>
      <c r="D64" s="24">
        <f t="shared" si="21"/>
        <v>210</v>
      </c>
      <c r="F64" s="120">
        <f t="shared" si="20"/>
        <v>105.97839048913043</v>
      </c>
      <c r="G64" s="137"/>
    </row>
    <row r="65" spans="1:7" x14ac:dyDescent="0.2">
      <c r="A65" s="24">
        <v>0.39</v>
      </c>
      <c r="B65" s="120">
        <f t="shared" si="17"/>
        <v>173630.35479452054</v>
      </c>
      <c r="C65" s="120">
        <f t="shared" si="18"/>
        <v>103328.93396739129</v>
      </c>
      <c r="D65" s="24">
        <f t="shared" si="21"/>
        <v>210</v>
      </c>
      <c r="F65" s="120">
        <f t="shared" si="20"/>
        <v>103.32893396739129</v>
      </c>
      <c r="G65" s="137"/>
    </row>
    <row r="66" spans="1:7" x14ac:dyDescent="0.2">
      <c r="A66" s="24">
        <v>0.38</v>
      </c>
      <c r="B66" s="120">
        <f t="shared" si="17"/>
        <v>169178.29999999996</v>
      </c>
      <c r="C66" s="120">
        <f t="shared" si="18"/>
        <v>100679.47744565214</v>
      </c>
      <c r="D66" s="24">
        <f t="shared" si="21"/>
        <v>210</v>
      </c>
      <c r="F66" s="120">
        <f t="shared" si="20"/>
        <v>100.67947744565214</v>
      </c>
      <c r="G66" s="137"/>
    </row>
    <row r="67" spans="1:7" x14ac:dyDescent="0.2">
      <c r="A67" s="24">
        <v>0.37</v>
      </c>
      <c r="B67" s="120">
        <f t="shared" si="17"/>
        <v>164726.24520547944</v>
      </c>
      <c r="C67" s="120">
        <f t="shared" si="18"/>
        <v>98030.020923913034</v>
      </c>
      <c r="D67" s="24">
        <f t="shared" si="21"/>
        <v>210</v>
      </c>
      <c r="F67" s="120">
        <f t="shared" si="20"/>
        <v>98.030020923913028</v>
      </c>
      <c r="G67" s="137"/>
    </row>
    <row r="68" spans="1:7" x14ac:dyDescent="0.2">
      <c r="A68" s="24">
        <v>0.36</v>
      </c>
      <c r="B68" s="120">
        <f t="shared" si="17"/>
        <v>160274.19041095889</v>
      </c>
      <c r="C68" s="120">
        <f t="shared" si="18"/>
        <v>95380.564402173899</v>
      </c>
      <c r="D68" s="24">
        <f t="shared" si="21"/>
        <v>210</v>
      </c>
      <c r="F68" s="120">
        <f t="shared" si="20"/>
        <v>95.380564402173903</v>
      </c>
      <c r="G68" s="137"/>
    </row>
    <row r="69" spans="1:7" x14ac:dyDescent="0.2">
      <c r="A69" s="24">
        <v>0.35</v>
      </c>
      <c r="B69" s="120">
        <f t="shared" si="17"/>
        <v>155822.13561643838</v>
      </c>
      <c r="C69" s="120">
        <f t="shared" si="18"/>
        <v>92731.107880434778</v>
      </c>
      <c r="D69" s="24">
        <f t="shared" si="21"/>
        <v>210</v>
      </c>
      <c r="F69" s="120">
        <f t="shared" si="20"/>
        <v>92.731107880434777</v>
      </c>
      <c r="G69" s="137"/>
    </row>
    <row r="70" spans="1:7" x14ac:dyDescent="0.2">
      <c r="A70" s="24">
        <v>0.34</v>
      </c>
      <c r="B70" s="120">
        <f t="shared" si="17"/>
        <v>151370.0808219178</v>
      </c>
      <c r="C70" s="120">
        <f t="shared" si="18"/>
        <v>90081.651358695643</v>
      </c>
      <c r="D70" s="24">
        <f t="shared" si="21"/>
        <v>210</v>
      </c>
      <c r="F70" s="120">
        <f t="shared" si="20"/>
        <v>90.081651358695638</v>
      </c>
      <c r="G70" s="137"/>
    </row>
    <row r="71" spans="1:7" x14ac:dyDescent="0.2">
      <c r="A71" s="24">
        <v>0.33</v>
      </c>
      <c r="B71" s="120">
        <f t="shared" si="17"/>
        <v>146918.02602739728</v>
      </c>
      <c r="C71" s="120">
        <f t="shared" si="18"/>
        <v>87432.194836956522</v>
      </c>
      <c r="D71" s="24">
        <f t="shared" si="21"/>
        <v>210</v>
      </c>
      <c r="F71" s="120">
        <f t="shared" si="20"/>
        <v>87.432194836956526</v>
      </c>
      <c r="G71" s="137"/>
    </row>
    <row r="72" spans="1:7" x14ac:dyDescent="0.2">
      <c r="A72" s="24">
        <v>0.32</v>
      </c>
      <c r="B72" s="120">
        <f t="shared" si="17"/>
        <v>142465.97123287673</v>
      </c>
      <c r="C72" s="120">
        <f t="shared" si="18"/>
        <v>84782.738315217386</v>
      </c>
      <c r="D72" s="24">
        <f t="shared" si="21"/>
        <v>210</v>
      </c>
      <c r="F72" s="120">
        <f t="shared" si="20"/>
        <v>84.782738315217387</v>
      </c>
      <c r="G72" s="137"/>
    </row>
    <row r="73" spans="1:7" x14ac:dyDescent="0.2">
      <c r="A73" s="24">
        <v>0.31</v>
      </c>
      <c r="B73" s="120">
        <f t="shared" si="17"/>
        <v>138013.91643835616</v>
      </c>
      <c r="C73" s="120">
        <f t="shared" si="18"/>
        <v>82133.281793478251</v>
      </c>
      <c r="D73" s="24">
        <f t="shared" si="21"/>
        <v>210</v>
      </c>
      <c r="F73" s="120">
        <f t="shared" si="20"/>
        <v>82.133281793478247</v>
      </c>
      <c r="G73" s="137"/>
    </row>
    <row r="74" spans="1:7" x14ac:dyDescent="0.2">
      <c r="A74" s="24">
        <v>0.3</v>
      </c>
      <c r="B74" s="120">
        <f t="shared" si="17"/>
        <v>133561.86164383561</v>
      </c>
      <c r="C74" s="120">
        <f t="shared" si="18"/>
        <v>79483.825271739115</v>
      </c>
      <c r="D74" s="24">
        <f t="shared" si="21"/>
        <v>210</v>
      </c>
      <c r="F74" s="120">
        <f t="shared" si="20"/>
        <v>79.483825271739121</v>
      </c>
      <c r="G74" s="137"/>
    </row>
    <row r="75" spans="1:7" x14ac:dyDescent="0.2">
      <c r="A75" s="24">
        <v>0.28999999999999998</v>
      </c>
      <c r="B75" s="120">
        <f t="shared" si="17"/>
        <v>129109.80684931508</v>
      </c>
      <c r="C75" s="120">
        <f t="shared" si="18"/>
        <v>76834.368749999994</v>
      </c>
      <c r="D75" s="24">
        <f t="shared" si="21"/>
        <v>210</v>
      </c>
      <c r="F75" s="120">
        <f t="shared" si="20"/>
        <v>76.834368749999996</v>
      </c>
      <c r="G75" s="137"/>
    </row>
    <row r="76" spans="1:7" x14ac:dyDescent="0.2">
      <c r="A76" s="24">
        <v>0.28000000000000003</v>
      </c>
      <c r="B76" s="120">
        <f t="shared" si="17"/>
        <v>124657.7520547945</v>
      </c>
      <c r="C76" s="120">
        <f t="shared" si="18"/>
        <v>74184.912228260859</v>
      </c>
      <c r="D76" s="24">
        <f t="shared" si="21"/>
        <v>210</v>
      </c>
      <c r="F76" s="120">
        <f t="shared" si="20"/>
        <v>74.184912228260856</v>
      </c>
      <c r="G76" s="137"/>
    </row>
    <row r="77" spans="1:7" x14ac:dyDescent="0.2">
      <c r="A77" s="24">
        <v>0.27</v>
      </c>
      <c r="B77" s="120">
        <f t="shared" si="17"/>
        <v>120205.69726027396</v>
      </c>
      <c r="C77" s="120">
        <f t="shared" si="18"/>
        <v>71535.455706521723</v>
      </c>
      <c r="D77" s="24">
        <f t="shared" si="21"/>
        <v>210</v>
      </c>
      <c r="F77" s="120">
        <f t="shared" si="20"/>
        <v>71.535455706521716</v>
      </c>
      <c r="G77" s="137"/>
    </row>
    <row r="78" spans="1:7" x14ac:dyDescent="0.2">
      <c r="A78" s="24">
        <v>0.26</v>
      </c>
      <c r="B78" s="120">
        <f t="shared" si="17"/>
        <v>115753.64246575342</v>
      </c>
      <c r="C78" s="120">
        <f t="shared" si="18"/>
        <v>68885.999184782602</v>
      </c>
      <c r="D78" s="24">
        <f t="shared" si="21"/>
        <v>210</v>
      </c>
      <c r="F78" s="120">
        <f t="shared" si="20"/>
        <v>68.885999184782605</v>
      </c>
      <c r="G78" s="137"/>
    </row>
    <row r="79" spans="1:7" x14ac:dyDescent="0.2">
      <c r="A79" s="24">
        <v>0.25</v>
      </c>
      <c r="B79" s="120">
        <f t="shared" si="17"/>
        <v>111301.58767123286</v>
      </c>
      <c r="C79" s="120">
        <f t="shared" si="18"/>
        <v>66236.542663043467</v>
      </c>
      <c r="D79" s="24">
        <f t="shared" si="21"/>
        <v>210</v>
      </c>
      <c r="F79" s="120">
        <f t="shared" si="20"/>
        <v>66.236542663043465</v>
      </c>
      <c r="G79" s="137"/>
    </row>
    <row r="80" spans="1:7" x14ac:dyDescent="0.2">
      <c r="A80" s="24">
        <v>0.24</v>
      </c>
      <c r="B80" s="120">
        <f t="shared" si="17"/>
        <v>106849.53287671234</v>
      </c>
      <c r="C80" s="120">
        <f t="shared" si="18"/>
        <v>63587.086141304346</v>
      </c>
      <c r="D80" s="24">
        <f t="shared" si="21"/>
        <v>210</v>
      </c>
      <c r="F80" s="120">
        <f t="shared" si="20"/>
        <v>63.587086141304347</v>
      </c>
      <c r="G80" s="137"/>
    </row>
    <row r="81" spans="1:7" x14ac:dyDescent="0.2">
      <c r="A81" s="24">
        <v>0.23</v>
      </c>
      <c r="B81" s="120">
        <f t="shared" si="17"/>
        <v>102397.4780821918</v>
      </c>
      <c r="C81" s="120">
        <f t="shared" si="18"/>
        <v>60937.629619565218</v>
      </c>
      <c r="D81" s="24">
        <f t="shared" si="21"/>
        <v>210</v>
      </c>
      <c r="F81" s="120">
        <f t="shared" si="20"/>
        <v>60.937629619565215</v>
      </c>
      <c r="G81" s="137"/>
    </row>
    <row r="82" spans="1:7" x14ac:dyDescent="0.2">
      <c r="A82" s="24">
        <v>0.22</v>
      </c>
      <c r="B82" s="120">
        <f t="shared" si="17"/>
        <v>97945.423287671249</v>
      </c>
      <c r="C82" s="120">
        <f t="shared" si="18"/>
        <v>58288.173097826089</v>
      </c>
      <c r="D82" s="24">
        <f t="shared" si="21"/>
        <v>210</v>
      </c>
      <c r="F82" s="120">
        <f t="shared" si="20"/>
        <v>58.288173097826089</v>
      </c>
      <c r="G82" s="137"/>
    </row>
    <row r="83" spans="1:7" x14ac:dyDescent="0.2">
      <c r="A83" s="24">
        <v>0.21</v>
      </c>
      <c r="B83" s="120">
        <f t="shared" si="17"/>
        <v>93493.368493150687</v>
      </c>
      <c r="C83" s="120">
        <f t="shared" si="18"/>
        <v>55638.716576086954</v>
      </c>
      <c r="D83" s="24">
        <f t="shared" si="21"/>
        <v>210</v>
      </c>
      <c r="F83" s="120">
        <f t="shared" si="20"/>
        <v>55.638716576086956</v>
      </c>
      <c r="G83" s="137"/>
    </row>
    <row r="84" spans="1:7" x14ac:dyDescent="0.2">
      <c r="A84" s="24">
        <v>0.2</v>
      </c>
      <c r="B84" s="120">
        <f t="shared" si="17"/>
        <v>89041.31369863014</v>
      </c>
      <c r="C84" s="120">
        <f t="shared" si="18"/>
        <v>52989.260054347826</v>
      </c>
      <c r="D84" s="24">
        <f t="shared" si="21"/>
        <v>210</v>
      </c>
      <c r="F84" s="120">
        <f t="shared" si="20"/>
        <v>52.989260054347824</v>
      </c>
      <c r="G84" s="137"/>
    </row>
    <row r="85" spans="1:7" x14ac:dyDescent="0.2">
      <c r="A85" s="24">
        <v>0.19</v>
      </c>
      <c r="B85" s="120">
        <f t="shared" si="17"/>
        <v>84589.258904109563</v>
      </c>
      <c r="C85" s="120">
        <f t="shared" si="18"/>
        <v>50339.803532608683</v>
      </c>
      <c r="D85" s="24">
        <f t="shared" si="21"/>
        <v>210</v>
      </c>
      <c r="F85" s="120">
        <f t="shared" si="20"/>
        <v>50.339803532608684</v>
      </c>
      <c r="G85" s="137"/>
    </row>
    <row r="86" spans="1:7" x14ac:dyDescent="0.2">
      <c r="A86" s="24">
        <v>0.18</v>
      </c>
      <c r="B86" s="120">
        <f t="shared" si="17"/>
        <v>80137.204109589031</v>
      </c>
      <c r="C86" s="120">
        <f t="shared" si="18"/>
        <v>47690.347010869562</v>
      </c>
      <c r="D86" s="24">
        <f t="shared" si="21"/>
        <v>210</v>
      </c>
      <c r="F86" s="120">
        <f t="shared" si="20"/>
        <v>47.690347010869559</v>
      </c>
      <c r="G86" s="137"/>
    </row>
    <row r="87" spans="1:7" x14ac:dyDescent="0.2">
      <c r="A87" s="24">
        <v>0.17</v>
      </c>
      <c r="B87" s="120">
        <f t="shared" si="17"/>
        <v>75685.149315068498</v>
      </c>
      <c r="C87" s="120">
        <f t="shared" si="18"/>
        <v>45040.890489130434</v>
      </c>
      <c r="D87" s="24">
        <f t="shared" si="21"/>
        <v>210</v>
      </c>
      <c r="F87" s="120">
        <f t="shared" si="20"/>
        <v>45.040890489130433</v>
      </c>
      <c r="G87" s="137"/>
    </row>
    <row r="88" spans="1:7" x14ac:dyDescent="0.2">
      <c r="A88" s="24">
        <v>0.16</v>
      </c>
      <c r="B88" s="120">
        <f t="shared" si="17"/>
        <v>71233.094520547951</v>
      </c>
      <c r="C88" s="120">
        <f t="shared" si="18"/>
        <v>42391.433967391305</v>
      </c>
      <c r="D88" s="24">
        <f t="shared" si="21"/>
        <v>210</v>
      </c>
      <c r="F88" s="120">
        <f t="shared" si="20"/>
        <v>42.391433967391308</v>
      </c>
      <c r="G88" s="137"/>
    </row>
    <row r="89" spans="1:7" x14ac:dyDescent="0.2">
      <c r="A89" s="24">
        <v>0.15</v>
      </c>
      <c r="B89" s="120">
        <f t="shared" si="17"/>
        <v>66781.039726027389</v>
      </c>
      <c r="C89" s="120">
        <f t="shared" si="18"/>
        <v>39741.97744565217</v>
      </c>
      <c r="D89" s="24">
        <f t="shared" si="21"/>
        <v>210</v>
      </c>
      <c r="F89" s="120">
        <f t="shared" si="20"/>
        <v>39.741977445652168</v>
      </c>
      <c r="G89" s="137"/>
    </row>
    <row r="90" spans="1:7" x14ac:dyDescent="0.2">
      <c r="A90" s="24">
        <v>0.14000000000000001</v>
      </c>
      <c r="B90" s="120">
        <f t="shared" si="17"/>
        <v>62328.984931506857</v>
      </c>
      <c r="C90" s="120">
        <f t="shared" si="18"/>
        <v>37092.520923913042</v>
      </c>
      <c r="D90" s="24">
        <f t="shared" si="21"/>
        <v>210</v>
      </c>
      <c r="F90" s="120">
        <f t="shared" si="20"/>
        <v>37.092520923913042</v>
      </c>
      <c r="G90" s="137"/>
    </row>
    <row r="91" spans="1:7" x14ac:dyDescent="0.2">
      <c r="A91" s="24">
        <v>0.13</v>
      </c>
      <c r="B91" s="120">
        <f t="shared" si="17"/>
        <v>57876.93013698631</v>
      </c>
      <c r="C91" s="120">
        <f t="shared" si="18"/>
        <v>34443.064402173914</v>
      </c>
      <c r="D91" s="24">
        <f t="shared" si="21"/>
        <v>210</v>
      </c>
      <c r="F91" s="120">
        <f t="shared" si="20"/>
        <v>34.443064402173917</v>
      </c>
      <c r="G91" s="137"/>
    </row>
    <row r="92" spans="1:7" x14ac:dyDescent="0.2">
      <c r="A92" s="24">
        <v>0.12</v>
      </c>
      <c r="B92" s="120">
        <f>(C92*$C$51)/($G$51+$B$51)</f>
        <v>53424.875342465755</v>
      </c>
      <c r="C92" s="120">
        <f t="shared" si="18"/>
        <v>31793.607880434782</v>
      </c>
      <c r="D92" s="24">
        <f>IF(B92&gt;$D$51,$D$51,B92)</f>
        <v>210</v>
      </c>
      <c r="F92" s="120">
        <f t="shared" si="20"/>
        <v>31.793607880434781</v>
      </c>
      <c r="G92" s="137"/>
    </row>
    <row r="93" spans="1:7" x14ac:dyDescent="0.2">
      <c r="A93" s="24">
        <v>0.11</v>
      </c>
      <c r="B93" s="120">
        <f t="shared" si="17"/>
        <v>48972.820547945215</v>
      </c>
      <c r="C93" s="120">
        <f t="shared" si="18"/>
        <v>29144.151358695653</v>
      </c>
      <c r="D93" s="24">
        <f t="shared" ref="D93:D100" si="22">IF(B93&gt;$D$51,$D$51,B93)</f>
        <v>210</v>
      </c>
      <c r="F93" s="120">
        <f t="shared" si="20"/>
        <v>29.144151358695652</v>
      </c>
      <c r="G93" s="137"/>
    </row>
    <row r="94" spans="1:7" x14ac:dyDescent="0.2">
      <c r="A94" s="135">
        <v>0.1</v>
      </c>
      <c r="B94" s="136">
        <f t="shared" si="17"/>
        <v>44520.765753424661</v>
      </c>
      <c r="C94" s="136">
        <f t="shared" si="18"/>
        <v>26494.694836956522</v>
      </c>
      <c r="D94" s="135">
        <f t="shared" si="22"/>
        <v>210</v>
      </c>
      <c r="E94" s="135"/>
      <c r="F94" s="136">
        <f t="shared" si="20"/>
        <v>26.494694836956523</v>
      </c>
      <c r="G94" s="142" t="s">
        <v>217</v>
      </c>
    </row>
    <row r="95" spans="1:7" x14ac:dyDescent="0.2">
      <c r="A95" s="24">
        <v>0.09</v>
      </c>
      <c r="B95" s="120">
        <f t="shared" si="17"/>
        <v>40068.710958904107</v>
      </c>
      <c r="C95" s="120">
        <f t="shared" si="18"/>
        <v>23845.23831521739</v>
      </c>
      <c r="D95" s="24">
        <f t="shared" si="22"/>
        <v>210</v>
      </c>
      <c r="F95" s="120">
        <f>C95/1000</f>
        <v>23.84523831521739</v>
      </c>
      <c r="G95" s="137"/>
    </row>
    <row r="96" spans="1:7" x14ac:dyDescent="0.2">
      <c r="A96" s="24">
        <v>0.08</v>
      </c>
      <c r="B96" s="120">
        <f t="shared" si="17"/>
        <v>35616.656164383559</v>
      </c>
      <c r="C96" s="120">
        <f t="shared" si="18"/>
        <v>21195.781793478262</v>
      </c>
      <c r="D96" s="24">
        <f t="shared" si="22"/>
        <v>210</v>
      </c>
      <c r="F96" s="120">
        <f t="shared" si="20"/>
        <v>21.195781793478261</v>
      </c>
      <c r="G96" s="137"/>
    </row>
    <row r="97" spans="1:9" x14ac:dyDescent="0.2">
      <c r="A97" s="24">
        <v>7.0000000000000007E-2</v>
      </c>
      <c r="B97" s="120">
        <f t="shared" si="17"/>
        <v>31164.601369863012</v>
      </c>
      <c r="C97" s="120">
        <f t="shared" si="18"/>
        <v>18546.32527173913</v>
      </c>
      <c r="D97" s="24">
        <f t="shared" si="22"/>
        <v>210</v>
      </c>
      <c r="F97" s="120">
        <f t="shared" si="20"/>
        <v>18.546325271739128</v>
      </c>
      <c r="G97" s="137"/>
    </row>
    <row r="98" spans="1:9" x14ac:dyDescent="0.2">
      <c r="A98" s="24">
        <v>0.06</v>
      </c>
      <c r="B98" s="120">
        <f t="shared" si="17"/>
        <v>26712.546575342465</v>
      </c>
      <c r="C98" s="120">
        <f t="shared" si="18"/>
        <v>15896.86875</v>
      </c>
      <c r="D98" s="24">
        <f t="shared" si="22"/>
        <v>210</v>
      </c>
      <c r="F98" s="120">
        <f t="shared" si="20"/>
        <v>15.896868749999999</v>
      </c>
      <c r="G98" s="137"/>
    </row>
    <row r="99" spans="1:9" x14ac:dyDescent="0.2">
      <c r="A99" s="135">
        <v>0.05</v>
      </c>
      <c r="B99" s="136">
        <f t="shared" si="17"/>
        <v>22260.491780821918</v>
      </c>
      <c r="C99" s="136">
        <f t="shared" si="18"/>
        <v>13247.41222826087</v>
      </c>
      <c r="D99" s="135">
        <f t="shared" si="22"/>
        <v>210</v>
      </c>
      <c r="E99" s="135"/>
      <c r="F99" s="136">
        <f t="shared" si="20"/>
        <v>13.24741222826087</v>
      </c>
      <c r="G99" s="142" t="s">
        <v>218</v>
      </c>
      <c r="H99" s="135"/>
      <c r="I99" s="135"/>
    </row>
    <row r="100" spans="1:9" x14ac:dyDescent="0.2">
      <c r="A100" s="24">
        <v>0.04</v>
      </c>
      <c r="B100" s="120">
        <f t="shared" si="17"/>
        <v>17808.436986301374</v>
      </c>
      <c r="C100" s="120">
        <f t="shared" si="18"/>
        <v>10597.95570652174</v>
      </c>
      <c r="D100" s="24">
        <f t="shared" si="22"/>
        <v>210</v>
      </c>
      <c r="F100" s="120">
        <f t="shared" si="20"/>
        <v>10.59795570652174</v>
      </c>
      <c r="G100" s="137"/>
    </row>
    <row r="101" spans="1:9" x14ac:dyDescent="0.2">
      <c r="A101" s="24">
        <v>0.03</v>
      </c>
      <c r="B101" s="120">
        <f>(C101*$C$51)/($G$51+$B$51)</f>
        <v>13356.382191780824</v>
      </c>
      <c r="C101" s="120">
        <f t="shared" si="18"/>
        <v>7948.4991847826086</v>
      </c>
      <c r="D101" s="24">
        <f>IF(B101&gt;$D$51,$D$51,B101)</f>
        <v>210</v>
      </c>
      <c r="F101" s="31">
        <f t="shared" si="20"/>
        <v>7.9484991847826088</v>
      </c>
      <c r="G101" s="137"/>
    </row>
    <row r="102" spans="1:9" x14ac:dyDescent="0.2">
      <c r="A102" s="24">
        <v>0.02</v>
      </c>
      <c r="B102" s="120">
        <f t="shared" si="17"/>
        <v>8904.3273972602747</v>
      </c>
      <c r="C102" s="120">
        <f t="shared" si="18"/>
        <v>5299.0426630434786</v>
      </c>
      <c r="D102" s="24">
        <f t="shared" ref="D102:D110" si="23">IF(B102&gt;$D$51,$D$51,B102)</f>
        <v>210</v>
      </c>
      <c r="F102" s="31">
        <f t="shared" si="20"/>
        <v>5.2990426630434788</v>
      </c>
      <c r="G102" s="137"/>
    </row>
    <row r="103" spans="1:9" x14ac:dyDescent="0.2">
      <c r="A103" s="135">
        <v>0.01</v>
      </c>
      <c r="B103" s="136">
        <f t="shared" si="17"/>
        <v>4452.2726027397266</v>
      </c>
      <c r="C103" s="136">
        <f t="shared" si="18"/>
        <v>2649.5861413043481</v>
      </c>
      <c r="D103" s="135">
        <f t="shared" si="23"/>
        <v>210</v>
      </c>
      <c r="E103" s="135"/>
      <c r="F103" s="140">
        <f t="shared" si="20"/>
        <v>2.649586141304348</v>
      </c>
      <c r="G103" s="142" t="s">
        <v>216</v>
      </c>
      <c r="H103" s="135"/>
      <c r="I103" s="135"/>
    </row>
    <row r="104" spans="1:9" x14ac:dyDescent="0.2">
      <c r="A104" s="117">
        <v>8.9999999999999993E-3</v>
      </c>
      <c r="B104" s="120">
        <f t="shared" si="17"/>
        <v>4007.0671232876716</v>
      </c>
      <c r="C104" s="120">
        <f t="shared" si="18"/>
        <v>2384.6404891304351</v>
      </c>
      <c r="D104" s="120">
        <f t="shared" si="23"/>
        <v>210</v>
      </c>
      <c r="F104" s="31">
        <f t="shared" si="20"/>
        <v>2.3846404891304349</v>
      </c>
      <c r="G104" s="137"/>
    </row>
    <row r="105" spans="1:9" x14ac:dyDescent="0.2">
      <c r="A105" s="24">
        <v>8.0000000000000002E-3</v>
      </c>
      <c r="B105" s="120">
        <f t="shared" si="17"/>
        <v>3561.8616438356166</v>
      </c>
      <c r="C105" s="120">
        <f t="shared" si="18"/>
        <v>2119.6948369565216</v>
      </c>
      <c r="D105" s="120">
        <f t="shared" si="23"/>
        <v>210</v>
      </c>
      <c r="F105" s="31">
        <f t="shared" si="20"/>
        <v>2.1196948369565218</v>
      </c>
      <c r="G105" s="137"/>
    </row>
    <row r="106" spans="1:9" x14ac:dyDescent="0.2">
      <c r="A106" s="117">
        <v>7.0000000000000001E-3</v>
      </c>
      <c r="B106" s="120">
        <f t="shared" si="17"/>
        <v>3116.6561643835612</v>
      </c>
      <c r="C106" s="120">
        <f t="shared" si="18"/>
        <v>1854.7491847826084</v>
      </c>
      <c r="D106" s="120">
        <f t="shared" si="23"/>
        <v>210</v>
      </c>
      <c r="F106" s="31">
        <f t="shared" si="20"/>
        <v>1.8547491847826083</v>
      </c>
      <c r="G106" s="137"/>
    </row>
    <row r="107" spans="1:9" x14ac:dyDescent="0.2">
      <c r="A107" s="117">
        <v>6.0000000000000001E-3</v>
      </c>
      <c r="B107" s="120">
        <f t="shared" si="17"/>
        <v>2671.4506849315067</v>
      </c>
      <c r="C107" s="120">
        <f t="shared" si="18"/>
        <v>1589.8035326086956</v>
      </c>
      <c r="D107" s="120">
        <f t="shared" si="23"/>
        <v>210</v>
      </c>
      <c r="F107" s="31">
        <f t="shared" si="20"/>
        <v>1.5898035326086957</v>
      </c>
      <c r="G107" s="137"/>
    </row>
    <row r="108" spans="1:9" x14ac:dyDescent="0.2">
      <c r="A108" s="24">
        <v>5.0000000000000001E-3</v>
      </c>
      <c r="B108" s="120">
        <f t="shared" si="17"/>
        <v>2226.2452054794521</v>
      </c>
      <c r="C108" s="120">
        <f t="shared" si="18"/>
        <v>1324.8578804347826</v>
      </c>
      <c r="D108" s="120">
        <f t="shared" si="23"/>
        <v>210</v>
      </c>
      <c r="F108" s="31">
        <f t="shared" si="20"/>
        <v>1.3248578804347826</v>
      </c>
      <c r="G108" s="137"/>
    </row>
    <row r="109" spans="1:9" x14ac:dyDescent="0.2">
      <c r="A109" s="117">
        <v>4.0000000000000001E-3</v>
      </c>
      <c r="B109" s="120">
        <f t="shared" si="17"/>
        <v>1781.0397260273971</v>
      </c>
      <c r="C109" s="120">
        <f t="shared" si="18"/>
        <v>1059.9122282608694</v>
      </c>
      <c r="D109" s="120">
        <f t="shared" si="23"/>
        <v>210</v>
      </c>
      <c r="F109" s="31">
        <f t="shared" si="20"/>
        <v>1.0599122282608693</v>
      </c>
      <c r="G109" s="137"/>
    </row>
    <row r="110" spans="1:9" x14ac:dyDescent="0.2">
      <c r="A110" s="24">
        <v>3.00000000000001E-3</v>
      </c>
      <c r="B110" s="120">
        <f t="shared" si="17"/>
        <v>1335.8342465753467</v>
      </c>
      <c r="C110" s="120">
        <f t="shared" si="18"/>
        <v>794.96657608695909</v>
      </c>
      <c r="D110" s="120">
        <f t="shared" si="23"/>
        <v>210</v>
      </c>
      <c r="F110" s="26">
        <f t="shared" si="20"/>
        <v>0.79496657608695909</v>
      </c>
      <c r="G110" s="137"/>
    </row>
    <row r="111" spans="1:9" x14ac:dyDescent="0.2">
      <c r="A111" s="117">
        <v>2.00000000000001E-3</v>
      </c>
      <c r="B111" s="120">
        <f t="shared" si="17"/>
        <v>890.62876712329205</v>
      </c>
      <c r="C111" s="120">
        <f t="shared" si="18"/>
        <v>530.02092391304609</v>
      </c>
      <c r="D111" s="120">
        <f>IF(B111&gt;$D$51,$D$51,B111)</f>
        <v>210</v>
      </c>
      <c r="F111" s="26">
        <f t="shared" si="20"/>
        <v>0.53002092391304612</v>
      </c>
      <c r="G111" s="137"/>
    </row>
    <row r="112" spans="1:9" x14ac:dyDescent="0.2">
      <c r="A112" s="117">
        <v>1.00000000000001E-3</v>
      </c>
      <c r="B112" s="120">
        <f t="shared" si="17"/>
        <v>445.42328767123735</v>
      </c>
      <c r="C112" s="120">
        <f t="shared" si="18"/>
        <v>265.07527173913309</v>
      </c>
      <c r="D112" s="120">
        <f t="shared" ref="D112:D113" si="24">IF(B112&gt;$D$51,$D$51,B112)</f>
        <v>210</v>
      </c>
      <c r="F112" s="26">
        <f t="shared" si="20"/>
        <v>0.26507527173913309</v>
      </c>
      <c r="G112" s="137"/>
    </row>
    <row r="113" spans="1:10" x14ac:dyDescent="0.2">
      <c r="A113" s="24">
        <v>8.9999999999999998E-4</v>
      </c>
      <c r="B113" s="120">
        <f t="shared" si="17"/>
        <v>400.90273972602739</v>
      </c>
      <c r="C113" s="120">
        <f t="shared" si="18"/>
        <v>238.5807065217391</v>
      </c>
      <c r="D113" s="120">
        <f t="shared" si="24"/>
        <v>210</v>
      </c>
      <c r="F113" s="26">
        <f t="shared" si="20"/>
        <v>0.2385807065217391</v>
      </c>
      <c r="G113" s="137"/>
    </row>
    <row r="114" spans="1:10" x14ac:dyDescent="0.2">
      <c r="A114" s="24">
        <v>8.0000000000000004E-4</v>
      </c>
      <c r="B114" s="120">
        <f t="shared" si="17"/>
        <v>356.38219178082193</v>
      </c>
      <c r="C114" s="120">
        <f t="shared" si="18"/>
        <v>212.08614130434782</v>
      </c>
      <c r="D114" s="120">
        <f>IF(B114&gt;$D$51,$D$51,B114)</f>
        <v>210</v>
      </c>
      <c r="F114" s="26">
        <f t="shared" si="20"/>
        <v>0.21208614130434783</v>
      </c>
      <c r="G114" s="137"/>
    </row>
    <row r="115" spans="1:10" x14ac:dyDescent="0.2">
      <c r="A115" s="24">
        <v>6.9999999999999999E-4</v>
      </c>
      <c r="B115" s="120">
        <f t="shared" si="17"/>
        <v>311.86164383561646</v>
      </c>
      <c r="C115" s="120">
        <f t="shared" si="18"/>
        <v>185.59157608695651</v>
      </c>
      <c r="D115" s="120">
        <f t="shared" ref="D115:D118" si="25">IF(B115&gt;$D$51,$D$51,B115)</f>
        <v>210</v>
      </c>
      <c r="F115" s="26">
        <f t="shared" si="20"/>
        <v>0.18559157608695651</v>
      </c>
    </row>
    <row r="116" spans="1:10" x14ac:dyDescent="0.2">
      <c r="A116" s="24">
        <v>5.9999999999999995E-4</v>
      </c>
      <c r="B116" s="120">
        <f t="shared" si="17"/>
        <v>267.34109589041088</v>
      </c>
      <c r="C116" s="120">
        <f t="shared" si="18"/>
        <v>159.09701086956517</v>
      </c>
      <c r="D116" s="120">
        <f t="shared" si="25"/>
        <v>210</v>
      </c>
      <c r="F116" s="26">
        <f t="shared" si="20"/>
        <v>0.15909701086956518</v>
      </c>
      <c r="G116" s="137"/>
    </row>
    <row r="117" spans="1:10" x14ac:dyDescent="0.2">
      <c r="A117" s="24">
        <v>5.0000000000000001E-4</v>
      </c>
      <c r="B117" s="120">
        <f t="shared" si="17"/>
        <v>222.82054794520545</v>
      </c>
      <c r="C117" s="120">
        <f t="shared" si="18"/>
        <v>132.60244565217388</v>
      </c>
      <c r="D117" s="120">
        <f t="shared" si="25"/>
        <v>210</v>
      </c>
      <c r="F117" s="26">
        <f t="shared" si="20"/>
        <v>0.13260244565217388</v>
      </c>
      <c r="G117" s="137"/>
    </row>
    <row r="118" spans="1:10" x14ac:dyDescent="0.2">
      <c r="A118" s="143">
        <v>4.0000000000000002E-4</v>
      </c>
      <c r="B118" s="144">
        <f t="shared" si="17"/>
        <v>178.3</v>
      </c>
      <c r="C118" s="144">
        <f t="shared" si="18"/>
        <v>106.10788043478261</v>
      </c>
      <c r="D118" s="144">
        <f t="shared" si="25"/>
        <v>178.3</v>
      </c>
      <c r="E118" s="143"/>
      <c r="F118" s="145">
        <f t="shared" si="20"/>
        <v>0.10610788043478261</v>
      </c>
      <c r="G118" s="146" t="s">
        <v>221</v>
      </c>
      <c r="H118" s="143"/>
      <c r="I118" s="143"/>
      <c r="J118" s="24">
        <f>F118*1000</f>
        <v>106.10788043478261</v>
      </c>
    </row>
    <row r="119" spans="1:10" x14ac:dyDescent="0.2">
      <c r="A119" s="24">
        <v>2.9999999999999997E-4</v>
      </c>
      <c r="B119" s="120">
        <f t="shared" si="17"/>
        <v>133.77945205479452</v>
      </c>
      <c r="C119" s="120">
        <f t="shared" ref="C119:C148" si="26">($B$51*$G$51/$C$51)+(A119*$B$51*$H$51*10^6/$C$51)</f>
        <v>79.613315217391289</v>
      </c>
      <c r="D119" s="120">
        <f>IF(B119&gt;$D$51,$D$51,B119)</f>
        <v>133.77945205479452</v>
      </c>
      <c r="F119" s="26">
        <f t="shared" ref="F119:F148" si="27">C119/1000</f>
        <v>7.9613315217391289E-2</v>
      </c>
      <c r="G119" s="137"/>
    </row>
    <row r="120" spans="1:10" x14ac:dyDescent="0.2">
      <c r="A120" s="24">
        <v>2.0000000000000001E-4</v>
      </c>
      <c r="B120" s="120">
        <f t="shared" si="17"/>
        <v>89.258904109589039</v>
      </c>
      <c r="C120" s="120">
        <f t="shared" si="26"/>
        <v>53.118749999999999</v>
      </c>
      <c r="D120" s="120">
        <f t="shared" ref="D120:D122" si="28">IF(B120&gt;$D$51,$D$51,B120)</f>
        <v>89.258904109589039</v>
      </c>
      <c r="F120" s="26">
        <f t="shared" si="27"/>
        <v>5.3118749999999999E-2</v>
      </c>
      <c r="G120" s="137"/>
    </row>
    <row r="121" spans="1:10" x14ac:dyDescent="0.2">
      <c r="A121" s="135">
        <v>1.0000000000000099E-4</v>
      </c>
      <c r="B121" s="136">
        <f t="shared" ref="B121:B148" si="29">(C121*$C$51)/($G$51+$B$51)</f>
        <v>44.738356164384015</v>
      </c>
      <c r="C121" s="136">
        <f t="shared" si="26"/>
        <v>26.62418478260896</v>
      </c>
      <c r="D121" s="136">
        <f t="shared" si="28"/>
        <v>44.738356164384015</v>
      </c>
      <c r="E121" s="135"/>
      <c r="F121" s="186">
        <f t="shared" si="27"/>
        <v>2.6624184782608959E-2</v>
      </c>
      <c r="G121" s="185" t="s">
        <v>266</v>
      </c>
      <c r="H121" s="135"/>
      <c r="I121" s="135"/>
    </row>
    <row r="122" spans="1:10" x14ac:dyDescent="0.2">
      <c r="A122" s="24">
        <v>9.0000000000000006E-5</v>
      </c>
      <c r="B122" s="120">
        <f t="shared" si="29"/>
        <v>40.286301369863018</v>
      </c>
      <c r="C122" s="120">
        <f t="shared" si="26"/>
        <v>23.974728260869565</v>
      </c>
      <c r="D122" s="120">
        <f t="shared" si="28"/>
        <v>40.286301369863018</v>
      </c>
      <c r="F122" s="26">
        <f t="shared" si="27"/>
        <v>2.3974728260869566E-2</v>
      </c>
      <c r="G122" s="137"/>
    </row>
    <row r="123" spans="1:10" x14ac:dyDescent="0.2">
      <c r="A123" s="24">
        <v>8.0000000000000007E-5</v>
      </c>
      <c r="B123" s="120">
        <f t="shared" si="29"/>
        <v>35.834246575342469</v>
      </c>
      <c r="C123" s="120">
        <f t="shared" si="26"/>
        <v>21.325271739130436</v>
      </c>
      <c r="D123" s="120">
        <f t="shared" ref="D123" si="30">IF(B123&gt;$D$51,$D$51,B123)</f>
        <v>35.834246575342469</v>
      </c>
      <c r="F123" s="26">
        <f t="shared" si="27"/>
        <v>2.1325271739130437E-2</v>
      </c>
      <c r="G123" s="137"/>
    </row>
    <row r="124" spans="1:10" x14ac:dyDescent="0.2">
      <c r="A124" s="24">
        <v>6.9999999999999994E-5</v>
      </c>
      <c r="B124" s="120">
        <f t="shared" si="29"/>
        <v>31.382191780821913</v>
      </c>
      <c r="C124" s="120">
        <f t="shared" si="26"/>
        <v>18.6758152173913</v>
      </c>
      <c r="D124" s="120">
        <f t="shared" ref="D124:D129" si="31">IF(B124&gt;$D$51,$D$51,B124)</f>
        <v>31.382191780821913</v>
      </c>
      <c r="F124" s="26">
        <f t="shared" si="27"/>
        <v>1.8675815217391301E-2</v>
      </c>
      <c r="G124" s="137"/>
    </row>
    <row r="125" spans="1:10" x14ac:dyDescent="0.2">
      <c r="A125" s="24">
        <v>6.0000000000000002E-5</v>
      </c>
      <c r="B125" s="120">
        <f t="shared" si="29"/>
        <v>26.930136986301374</v>
      </c>
      <c r="C125" s="120">
        <f t="shared" si="26"/>
        <v>16.026358695652174</v>
      </c>
      <c r="D125" s="120">
        <f t="shared" si="31"/>
        <v>26.930136986301374</v>
      </c>
      <c r="F125" s="26">
        <f t="shared" si="27"/>
        <v>1.6026358695652176E-2</v>
      </c>
      <c r="G125" s="137"/>
    </row>
    <row r="126" spans="1:10" x14ac:dyDescent="0.2">
      <c r="A126" s="24">
        <v>5.0000000000000002E-5</v>
      </c>
      <c r="B126" s="120">
        <f t="shared" si="29"/>
        <v>22.478082191780825</v>
      </c>
      <c r="C126" s="120">
        <f t="shared" si="26"/>
        <v>13.376902173913043</v>
      </c>
      <c r="D126" s="120">
        <f t="shared" si="31"/>
        <v>22.478082191780825</v>
      </c>
      <c r="F126" s="119">
        <f t="shared" si="27"/>
        <v>1.3376902173913043E-2</v>
      </c>
      <c r="G126" s="137"/>
    </row>
    <row r="127" spans="1:10" x14ac:dyDescent="0.2">
      <c r="A127" s="24">
        <v>4.0000000000000003E-5</v>
      </c>
      <c r="B127" s="120">
        <f t="shared" si="29"/>
        <v>18.026027397260272</v>
      </c>
      <c r="C127" s="120">
        <f t="shared" si="26"/>
        <v>10.727445652173913</v>
      </c>
      <c r="D127" s="120">
        <f t="shared" si="31"/>
        <v>18.026027397260272</v>
      </c>
      <c r="F127" s="119">
        <f t="shared" si="27"/>
        <v>1.0727445652173912E-2</v>
      </c>
      <c r="G127" s="137"/>
    </row>
    <row r="128" spans="1:10" x14ac:dyDescent="0.2">
      <c r="A128" s="24">
        <v>3.0000000000000001E-5</v>
      </c>
      <c r="B128" s="120">
        <f t="shared" si="29"/>
        <v>13.573972602739724</v>
      </c>
      <c r="C128" s="31">
        <f t="shared" si="26"/>
        <v>8.0779891304347817</v>
      </c>
      <c r="D128" s="120">
        <f t="shared" si="31"/>
        <v>13.573972602739724</v>
      </c>
      <c r="F128" s="119">
        <f t="shared" si="27"/>
        <v>8.0779891304347817E-3</v>
      </c>
      <c r="G128" s="137"/>
    </row>
    <row r="129" spans="1:9" x14ac:dyDescent="0.2">
      <c r="A129" s="24">
        <v>2.0000000000000002E-5</v>
      </c>
      <c r="B129" s="31">
        <f t="shared" si="29"/>
        <v>9.1219178082191785</v>
      </c>
      <c r="C129" s="31">
        <f t="shared" si="26"/>
        <v>5.4285326086956518</v>
      </c>
      <c r="D129" s="31">
        <f t="shared" si="31"/>
        <v>9.1219178082191785</v>
      </c>
      <c r="F129" s="119">
        <f t="shared" si="27"/>
        <v>5.4285326086956518E-3</v>
      </c>
      <c r="G129" s="137"/>
    </row>
    <row r="130" spans="1:9" x14ac:dyDescent="0.2">
      <c r="A130" s="24">
        <v>1.0000000000000001E-5</v>
      </c>
      <c r="B130" s="31">
        <f t="shared" si="29"/>
        <v>4.6698630136986301</v>
      </c>
      <c r="C130" s="31">
        <f t="shared" si="26"/>
        <v>2.7790760869565219</v>
      </c>
      <c r="D130" s="31">
        <f t="shared" ref="D130:D143" si="32">IF(B130&gt;$D$51,$D$51,B130)</f>
        <v>4.6698630136986301</v>
      </c>
      <c r="F130" s="119">
        <f t="shared" si="27"/>
        <v>2.779076086956522E-3</v>
      </c>
      <c r="G130" s="137"/>
    </row>
    <row r="131" spans="1:9" x14ac:dyDescent="0.2">
      <c r="A131" s="121">
        <v>9.0000000000000002E-6</v>
      </c>
      <c r="B131" s="31">
        <f t="shared" si="29"/>
        <v>4.2246575342465755</v>
      </c>
      <c r="C131" s="31">
        <f t="shared" si="26"/>
        <v>2.5141304347826088</v>
      </c>
      <c r="D131" s="31">
        <f t="shared" si="32"/>
        <v>4.2246575342465755</v>
      </c>
      <c r="F131" s="119">
        <f t="shared" si="27"/>
        <v>2.5141304347826086E-3</v>
      </c>
      <c r="G131" s="137"/>
    </row>
    <row r="132" spans="1:9" x14ac:dyDescent="0.2">
      <c r="A132" s="121">
        <v>7.9999999999999996E-6</v>
      </c>
      <c r="B132" s="31">
        <f t="shared" si="29"/>
        <v>3.779452054794521</v>
      </c>
      <c r="C132" s="31">
        <f t="shared" si="26"/>
        <v>2.2491847826086957</v>
      </c>
      <c r="D132" s="31">
        <f t="shared" si="32"/>
        <v>3.779452054794521</v>
      </c>
      <c r="F132" s="119">
        <f t="shared" si="27"/>
        <v>2.2491847826086957E-3</v>
      </c>
      <c r="G132" s="137"/>
    </row>
    <row r="133" spans="1:9" x14ac:dyDescent="0.2">
      <c r="A133" s="121">
        <v>6.9999999999999999E-6</v>
      </c>
      <c r="B133" s="31">
        <f t="shared" si="29"/>
        <v>3.3342465753424655</v>
      </c>
      <c r="C133" s="31">
        <f t="shared" si="26"/>
        <v>1.9842391304347824</v>
      </c>
      <c r="D133" s="31">
        <f t="shared" si="32"/>
        <v>3.3342465753424655</v>
      </c>
      <c r="F133" s="119">
        <f t="shared" si="27"/>
        <v>1.9842391304347824E-3</v>
      </c>
      <c r="G133" s="137"/>
    </row>
    <row r="134" spans="1:9" x14ac:dyDescent="0.2">
      <c r="A134" s="121">
        <v>6.0000000000000002E-6</v>
      </c>
      <c r="B134" s="31">
        <f t="shared" si="29"/>
        <v>2.8890410958904105</v>
      </c>
      <c r="C134" s="31">
        <f t="shared" si="26"/>
        <v>1.7192934782608693</v>
      </c>
      <c r="D134" s="31">
        <f t="shared" si="32"/>
        <v>2.8890410958904105</v>
      </c>
      <c r="F134" s="119">
        <f t="shared" si="27"/>
        <v>1.7192934782608693E-3</v>
      </c>
    </row>
    <row r="135" spans="1:9" x14ac:dyDescent="0.2">
      <c r="A135" s="121">
        <v>5.0000000000000004E-6</v>
      </c>
      <c r="B135" s="31">
        <f t="shared" si="29"/>
        <v>2.4438356164383563</v>
      </c>
      <c r="C135" s="31">
        <f t="shared" si="26"/>
        <v>1.4543478260869565</v>
      </c>
      <c r="D135" s="31">
        <f t="shared" si="32"/>
        <v>2.4438356164383563</v>
      </c>
      <c r="F135" s="119">
        <f t="shared" si="27"/>
        <v>1.4543478260869564E-3</v>
      </c>
      <c r="G135" s="137"/>
    </row>
    <row r="136" spans="1:9" x14ac:dyDescent="0.2">
      <c r="A136" s="139">
        <v>3.9999999999999998E-6</v>
      </c>
      <c r="B136" s="140">
        <f t="shared" si="29"/>
        <v>1.9986301369863013</v>
      </c>
      <c r="C136" s="140">
        <f t="shared" si="26"/>
        <v>1.1894021739130434</v>
      </c>
      <c r="D136" s="140">
        <f t="shared" si="32"/>
        <v>1.9986301369863013</v>
      </c>
      <c r="E136" s="135"/>
      <c r="F136" s="141">
        <f t="shared" si="27"/>
        <v>1.1894021739130435E-3</v>
      </c>
      <c r="G136" s="142" t="s">
        <v>219</v>
      </c>
      <c r="H136" s="142" t="s">
        <v>220</v>
      </c>
      <c r="I136" s="24">
        <f>F136*1000</f>
        <v>1.1894021739130434</v>
      </c>
    </row>
    <row r="137" spans="1:9" x14ac:dyDescent="0.2">
      <c r="A137" s="121">
        <v>3.0000000000000001E-6</v>
      </c>
      <c r="B137" s="31">
        <f t="shared" si="29"/>
        <v>1.5534246575342465</v>
      </c>
      <c r="C137" s="31">
        <f t="shared" si="26"/>
        <v>0.92445652173913029</v>
      </c>
      <c r="D137" s="31">
        <f t="shared" si="32"/>
        <v>1.5534246575342465</v>
      </c>
      <c r="F137" s="119">
        <f t="shared" si="27"/>
        <v>9.2445652173913024E-4</v>
      </c>
      <c r="G137" s="137"/>
    </row>
    <row r="138" spans="1:9" x14ac:dyDescent="0.2">
      <c r="A138" s="121">
        <v>1.9999999999999999E-6</v>
      </c>
      <c r="B138" s="31">
        <f t="shared" si="29"/>
        <v>1.1082191780821917</v>
      </c>
      <c r="C138" s="31">
        <f t="shared" si="26"/>
        <v>0.65951086956521732</v>
      </c>
      <c r="D138" s="26">
        <f t="shared" si="32"/>
        <v>1.1082191780821917</v>
      </c>
      <c r="F138" s="119">
        <f t="shared" si="27"/>
        <v>6.5951086956521734E-4</v>
      </c>
      <c r="G138" s="137"/>
    </row>
    <row r="139" spans="1:9" x14ac:dyDescent="0.2">
      <c r="A139" s="121">
        <v>9.9999999999999995E-7</v>
      </c>
      <c r="B139" s="31">
        <f t="shared" si="29"/>
        <v>0.66301369863013704</v>
      </c>
      <c r="C139" s="31">
        <f t="shared" si="26"/>
        <v>0.39456521739130435</v>
      </c>
      <c r="D139" s="26">
        <f t="shared" si="32"/>
        <v>0.66301369863013704</v>
      </c>
      <c r="F139" s="22">
        <f t="shared" si="27"/>
        <v>3.9456521739130433E-4</v>
      </c>
      <c r="G139" s="137"/>
    </row>
    <row r="140" spans="1:9" x14ac:dyDescent="0.2">
      <c r="A140" s="122">
        <v>8.9999999999999996E-7</v>
      </c>
      <c r="B140" s="31">
        <f t="shared" si="29"/>
        <v>0.61849315068493149</v>
      </c>
      <c r="C140" s="31">
        <f t="shared" si="26"/>
        <v>0.36807065217391299</v>
      </c>
      <c r="D140" s="26">
        <f t="shared" si="32"/>
        <v>0.61849315068493149</v>
      </c>
      <c r="F140" s="22">
        <f t="shared" si="27"/>
        <v>3.6807065217391298E-4</v>
      </c>
      <c r="G140" s="137"/>
    </row>
    <row r="141" spans="1:9" x14ac:dyDescent="0.2">
      <c r="A141" s="122">
        <v>7.9999999999999996E-7</v>
      </c>
      <c r="B141" s="31">
        <f t="shared" si="29"/>
        <v>0.57397260273972595</v>
      </c>
      <c r="C141" s="31">
        <f t="shared" si="26"/>
        <v>0.3415760869565217</v>
      </c>
      <c r="D141" s="26">
        <f t="shared" si="32"/>
        <v>0.57397260273972595</v>
      </c>
      <c r="F141" s="22">
        <f t="shared" si="27"/>
        <v>3.4157608695652169E-4</v>
      </c>
      <c r="G141" s="137"/>
    </row>
    <row r="142" spans="1:9" x14ac:dyDescent="0.2">
      <c r="A142" s="122">
        <v>6.9999999999999997E-7</v>
      </c>
      <c r="B142" s="31">
        <f t="shared" si="29"/>
        <v>0.52945205479452051</v>
      </c>
      <c r="C142" s="31">
        <f t="shared" si="26"/>
        <v>0.3150815217391304</v>
      </c>
      <c r="D142" s="26">
        <f t="shared" si="32"/>
        <v>0.52945205479452051</v>
      </c>
      <c r="F142" s="22">
        <f t="shared" si="27"/>
        <v>3.150815217391304E-4</v>
      </c>
      <c r="G142" s="137"/>
    </row>
    <row r="143" spans="1:9" x14ac:dyDescent="0.2">
      <c r="A143" s="122">
        <v>5.9999999999999997E-7</v>
      </c>
      <c r="B143" s="31">
        <f t="shared" si="29"/>
        <v>0.48493150684931502</v>
      </c>
      <c r="C143" s="31">
        <f t="shared" si="26"/>
        <v>0.2885869565217391</v>
      </c>
      <c r="D143" s="26">
        <f t="shared" si="32"/>
        <v>0.48493150684931502</v>
      </c>
      <c r="F143" s="22">
        <f t="shared" si="27"/>
        <v>2.8858695652173911E-4</v>
      </c>
      <c r="G143" s="137"/>
    </row>
    <row r="144" spans="1:9" x14ac:dyDescent="0.2">
      <c r="A144" s="122">
        <v>4.9999999999999998E-7</v>
      </c>
      <c r="B144" s="31">
        <f t="shared" si="29"/>
        <v>0.44041095890410958</v>
      </c>
      <c r="C144" s="31">
        <f t="shared" si="26"/>
        <v>0.2620923913043478</v>
      </c>
      <c r="D144" s="26">
        <f t="shared" ref="D144:D148" si="33">IF(B144&gt;$D$51,$D$51,B144)</f>
        <v>0.44041095890410958</v>
      </c>
      <c r="F144" s="22">
        <f t="shared" si="27"/>
        <v>2.6209239130434782E-4</v>
      </c>
      <c r="G144" s="137"/>
    </row>
    <row r="145" spans="1:7" x14ac:dyDescent="0.2">
      <c r="A145" s="122">
        <v>3.9999999999999998E-7</v>
      </c>
      <c r="B145" s="31">
        <f t="shared" si="29"/>
        <v>0.39589041095890409</v>
      </c>
      <c r="C145" s="31">
        <f t="shared" si="26"/>
        <v>0.23559782608695651</v>
      </c>
      <c r="D145" s="26">
        <f t="shared" si="33"/>
        <v>0.39589041095890409</v>
      </c>
      <c r="F145" s="22">
        <f t="shared" si="27"/>
        <v>2.355978260869565E-4</v>
      </c>
      <c r="G145" s="137"/>
    </row>
    <row r="146" spans="1:7" x14ac:dyDescent="0.2">
      <c r="A146" s="122">
        <v>2.9999999999999999E-7</v>
      </c>
      <c r="B146" s="31">
        <f t="shared" si="29"/>
        <v>0.3513698630136986</v>
      </c>
      <c r="C146" s="31">
        <f t="shared" si="26"/>
        <v>0.20910326086956521</v>
      </c>
      <c r="D146" s="26">
        <f t="shared" si="33"/>
        <v>0.3513698630136986</v>
      </c>
      <c r="F146" s="22">
        <f t="shared" si="27"/>
        <v>2.0910326086956521E-4</v>
      </c>
      <c r="G146" s="137"/>
    </row>
    <row r="147" spans="1:7" x14ac:dyDescent="0.2">
      <c r="A147" s="122">
        <v>1.9999999999999999E-7</v>
      </c>
      <c r="B147" s="31">
        <f t="shared" si="29"/>
        <v>0.30684931506849311</v>
      </c>
      <c r="C147" s="31">
        <f t="shared" si="26"/>
        <v>0.18260869565217389</v>
      </c>
      <c r="D147" s="26">
        <f t="shared" si="33"/>
        <v>0.30684931506849311</v>
      </c>
      <c r="F147" s="22">
        <f t="shared" si="27"/>
        <v>1.826086956521739E-4</v>
      </c>
      <c r="G147" s="137"/>
    </row>
    <row r="148" spans="1:7" x14ac:dyDescent="0.2">
      <c r="A148" s="122">
        <v>9.9999999999999995E-8</v>
      </c>
      <c r="B148" s="31">
        <f t="shared" si="29"/>
        <v>0.26232876712328762</v>
      </c>
      <c r="C148" s="31">
        <f t="shared" si="26"/>
        <v>0.15611413043478259</v>
      </c>
      <c r="D148" s="26">
        <f t="shared" si="33"/>
        <v>0.26232876712328762</v>
      </c>
      <c r="F148" s="22">
        <f t="shared" si="27"/>
        <v>1.5611413043478258E-4</v>
      </c>
      <c r="G148" s="137"/>
    </row>
  </sheetData>
  <sortState xmlns:xlrd2="http://schemas.microsoft.com/office/spreadsheetml/2017/richdata2" ref="AB2:AC13">
    <sortCondition descending="1" ref="AC2"/>
  </sortState>
  <mergeCells count="12">
    <mergeCell ref="K23:L23"/>
    <mergeCell ref="K24:L24"/>
    <mergeCell ref="E28:F28"/>
    <mergeCell ref="E29:F29"/>
    <mergeCell ref="E30:F30"/>
    <mergeCell ref="E27:F27"/>
    <mergeCell ref="I23:J23"/>
    <mergeCell ref="E31:F31"/>
    <mergeCell ref="E32:F32"/>
    <mergeCell ref="E23:F25"/>
    <mergeCell ref="E26:F26"/>
    <mergeCell ref="G23:H23"/>
  </mergeCells>
  <phoneticPr fontId="30" type="noConversion"/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EB731-5F65-4524-8249-3CB84476FECB}">
  <dimension ref="A2:G57"/>
  <sheetViews>
    <sheetView topLeftCell="A52" workbookViewId="0">
      <selection activeCell="C56" sqref="C56"/>
    </sheetView>
  </sheetViews>
  <sheetFormatPr defaultRowHeight="12.75" x14ac:dyDescent="0.2"/>
  <cols>
    <col min="2" max="2" width="9.1640625" style="137" customWidth="1"/>
  </cols>
  <sheetData>
    <row r="2" spans="1:5" x14ac:dyDescent="0.2">
      <c r="A2" s="23" t="s">
        <v>40</v>
      </c>
      <c r="B2" s="138" t="s">
        <v>130</v>
      </c>
      <c r="C2" s="110" t="s">
        <v>39</v>
      </c>
      <c r="D2" s="110" t="s">
        <v>222</v>
      </c>
    </row>
    <row r="3" spans="1:5" x14ac:dyDescent="0.2">
      <c r="A3" s="26">
        <v>0.3</v>
      </c>
      <c r="B3" s="147">
        <f>A3*1000</f>
        <v>300</v>
      </c>
      <c r="C3" s="148">
        <f>B3/100000</f>
        <v>3.0000000000000001E-3</v>
      </c>
    </row>
    <row r="4" spans="1:5" x14ac:dyDescent="0.2">
      <c r="A4" s="96">
        <v>1.6</v>
      </c>
      <c r="B4" s="147">
        <f t="shared" ref="B4:B12" si="0">A4*1000</f>
        <v>1600</v>
      </c>
      <c r="C4" s="148">
        <f t="shared" ref="C4:C54" si="1">B4/100000</f>
        <v>1.6E-2</v>
      </c>
    </row>
    <row r="5" spans="1:5" x14ac:dyDescent="0.2">
      <c r="A5" s="96">
        <v>2.9</v>
      </c>
      <c r="B5" s="147">
        <f t="shared" si="0"/>
        <v>2900</v>
      </c>
      <c r="C5" s="148">
        <f t="shared" si="1"/>
        <v>2.9000000000000001E-2</v>
      </c>
    </row>
    <row r="6" spans="1:5" x14ac:dyDescent="0.2">
      <c r="A6" s="26">
        <v>3.1</v>
      </c>
      <c r="B6" s="147">
        <f t="shared" si="0"/>
        <v>3100</v>
      </c>
      <c r="C6" s="148">
        <f t="shared" si="1"/>
        <v>3.1E-2</v>
      </c>
    </row>
    <row r="7" spans="1:5" x14ac:dyDescent="0.2">
      <c r="A7" s="96">
        <v>0.2</v>
      </c>
      <c r="B7" s="147">
        <f t="shared" si="0"/>
        <v>200</v>
      </c>
      <c r="C7" s="148">
        <f t="shared" si="1"/>
        <v>2E-3</v>
      </c>
    </row>
    <row r="8" spans="1:5" x14ac:dyDescent="0.2">
      <c r="A8" s="26">
        <v>1E-4</v>
      </c>
      <c r="B8" s="147">
        <f t="shared" si="0"/>
        <v>0.1</v>
      </c>
      <c r="C8" s="148">
        <f t="shared" si="1"/>
        <v>9.9999999999999995E-7</v>
      </c>
    </row>
    <row r="9" spans="1:5" x14ac:dyDescent="0.2">
      <c r="A9" s="26">
        <v>1.7</v>
      </c>
      <c r="B9" s="147">
        <f t="shared" si="0"/>
        <v>1700</v>
      </c>
      <c r="C9" s="148">
        <f t="shared" si="1"/>
        <v>1.7000000000000001E-2</v>
      </c>
    </row>
    <row r="10" spans="1:5" x14ac:dyDescent="0.2">
      <c r="A10" s="26">
        <v>1</v>
      </c>
      <c r="B10" s="147">
        <f t="shared" si="0"/>
        <v>1000</v>
      </c>
      <c r="C10" s="148">
        <f t="shared" si="1"/>
        <v>0.01</v>
      </c>
    </row>
    <row r="11" spans="1:5" x14ac:dyDescent="0.2">
      <c r="A11" s="26">
        <v>3.6</v>
      </c>
      <c r="B11" s="147">
        <f t="shared" si="0"/>
        <v>3600</v>
      </c>
      <c r="C11" s="148">
        <f t="shared" si="1"/>
        <v>3.5999999999999997E-2</v>
      </c>
    </row>
    <row r="12" spans="1:5" x14ac:dyDescent="0.2">
      <c r="A12" s="26">
        <v>0.9</v>
      </c>
      <c r="B12" s="147">
        <f t="shared" si="0"/>
        <v>900</v>
      </c>
      <c r="C12" s="148">
        <f t="shared" si="1"/>
        <v>8.9999999999999993E-3</v>
      </c>
      <c r="D12" s="110" t="s">
        <v>223</v>
      </c>
      <c r="E12">
        <f>GEOMEAN(C3:C12)</f>
        <v>4.6526725199722624E-3</v>
      </c>
    </row>
    <row r="13" spans="1:5" x14ac:dyDescent="0.2">
      <c r="A13" s="26">
        <f>B13/1000</f>
        <v>1</v>
      </c>
      <c r="B13" s="147">
        <v>1000</v>
      </c>
      <c r="C13" s="148">
        <f t="shared" si="1"/>
        <v>0.01</v>
      </c>
      <c r="D13" s="110" t="s">
        <v>224</v>
      </c>
    </row>
    <row r="14" spans="1:5" x14ac:dyDescent="0.2">
      <c r="A14" s="26">
        <f t="shared" ref="A14:A51" si="2">B14/1000</f>
        <v>1</v>
      </c>
      <c r="B14" s="147">
        <v>1000</v>
      </c>
      <c r="C14" s="148">
        <f t="shared" si="1"/>
        <v>0.01</v>
      </c>
      <c r="D14" s="110" t="s">
        <v>225</v>
      </c>
    </row>
    <row r="15" spans="1:5" x14ac:dyDescent="0.2">
      <c r="A15" s="26">
        <f t="shared" si="2"/>
        <v>1</v>
      </c>
      <c r="B15" s="147">
        <v>1000</v>
      </c>
      <c r="C15" s="148">
        <f t="shared" si="1"/>
        <v>0.01</v>
      </c>
      <c r="D15" s="110" t="s">
        <v>226</v>
      </c>
    </row>
    <row r="16" spans="1:5" x14ac:dyDescent="0.2">
      <c r="A16" s="26">
        <f t="shared" si="2"/>
        <v>1.5</v>
      </c>
      <c r="B16" s="147">
        <v>1500</v>
      </c>
      <c r="C16" s="148">
        <f t="shared" si="1"/>
        <v>1.4999999999999999E-2</v>
      </c>
      <c r="D16" s="110" t="s">
        <v>227</v>
      </c>
    </row>
    <row r="17" spans="1:4" x14ac:dyDescent="0.2">
      <c r="A17" s="26">
        <f t="shared" si="2"/>
        <v>7</v>
      </c>
      <c r="B17" s="147">
        <v>7000</v>
      </c>
      <c r="C17" s="148">
        <f t="shared" si="1"/>
        <v>7.0000000000000007E-2</v>
      </c>
      <c r="D17" s="110" t="s">
        <v>228</v>
      </c>
    </row>
    <row r="18" spans="1:4" x14ac:dyDescent="0.2">
      <c r="A18" s="26">
        <f t="shared" si="2"/>
        <v>3.1</v>
      </c>
      <c r="B18" s="147">
        <v>3100</v>
      </c>
      <c r="C18" s="148">
        <f t="shared" si="1"/>
        <v>3.1E-2</v>
      </c>
      <c r="D18" s="110" t="s">
        <v>229</v>
      </c>
    </row>
    <row r="19" spans="1:4" x14ac:dyDescent="0.2">
      <c r="A19" s="26">
        <f t="shared" si="2"/>
        <v>3.5</v>
      </c>
      <c r="B19" s="147">
        <v>3500</v>
      </c>
      <c r="C19" s="148">
        <f t="shared" si="1"/>
        <v>3.5000000000000003E-2</v>
      </c>
      <c r="D19" s="110" t="s">
        <v>230</v>
      </c>
    </row>
    <row r="20" spans="1:4" x14ac:dyDescent="0.2">
      <c r="A20" s="26">
        <f t="shared" si="2"/>
        <v>8.8000000000000007</v>
      </c>
      <c r="B20" s="147">
        <v>8800</v>
      </c>
      <c r="C20" s="148">
        <f t="shared" si="1"/>
        <v>8.7999999999999995E-2</v>
      </c>
      <c r="D20" s="110" t="s">
        <v>231</v>
      </c>
    </row>
    <row r="21" spans="1:4" x14ac:dyDescent="0.2">
      <c r="A21" s="26">
        <f t="shared" si="2"/>
        <v>1</v>
      </c>
      <c r="B21" s="147">
        <v>1000</v>
      </c>
      <c r="C21" s="148">
        <f t="shared" si="1"/>
        <v>0.01</v>
      </c>
      <c r="D21" s="110" t="s">
        <v>232</v>
      </c>
    </row>
    <row r="22" spans="1:4" x14ac:dyDescent="0.2">
      <c r="A22" s="26">
        <f t="shared" si="2"/>
        <v>2.5</v>
      </c>
      <c r="B22" s="147">
        <v>2500</v>
      </c>
      <c r="C22" s="148">
        <f t="shared" si="1"/>
        <v>2.5000000000000001E-2</v>
      </c>
      <c r="D22" s="110" t="s">
        <v>233</v>
      </c>
    </row>
    <row r="23" spans="1:4" x14ac:dyDescent="0.2">
      <c r="A23" s="26">
        <f t="shared" si="2"/>
        <v>8.4</v>
      </c>
      <c r="B23" s="147">
        <v>8400</v>
      </c>
      <c r="C23" s="148">
        <f t="shared" si="1"/>
        <v>8.4000000000000005E-2</v>
      </c>
      <c r="D23" s="110" t="s">
        <v>234</v>
      </c>
    </row>
    <row r="24" spans="1:4" x14ac:dyDescent="0.2">
      <c r="A24" s="26">
        <f t="shared" si="2"/>
        <v>7.9</v>
      </c>
      <c r="B24" s="147">
        <v>7900</v>
      </c>
      <c r="C24" s="148">
        <f t="shared" si="1"/>
        <v>7.9000000000000001E-2</v>
      </c>
      <c r="D24" s="110" t="s">
        <v>235</v>
      </c>
    </row>
    <row r="25" spans="1:4" x14ac:dyDescent="0.2">
      <c r="A25" s="26">
        <f t="shared" si="2"/>
        <v>1</v>
      </c>
      <c r="B25" s="147">
        <v>1000</v>
      </c>
      <c r="C25" s="148">
        <f t="shared" si="1"/>
        <v>0.01</v>
      </c>
      <c r="D25" s="110" t="s">
        <v>236</v>
      </c>
    </row>
    <row r="26" spans="1:4" x14ac:dyDescent="0.2">
      <c r="A26" s="26">
        <f t="shared" si="2"/>
        <v>1.3</v>
      </c>
      <c r="B26" s="147">
        <v>1300</v>
      </c>
      <c r="C26" s="148">
        <f t="shared" si="1"/>
        <v>1.2999999999999999E-2</v>
      </c>
      <c r="D26" s="110" t="s">
        <v>237</v>
      </c>
    </row>
    <row r="27" spans="1:4" x14ac:dyDescent="0.2">
      <c r="A27" s="26">
        <f t="shared" si="2"/>
        <v>2.5</v>
      </c>
      <c r="B27" s="147">
        <v>2500</v>
      </c>
      <c r="C27" s="148">
        <f t="shared" si="1"/>
        <v>2.5000000000000001E-2</v>
      </c>
      <c r="D27" s="110" t="s">
        <v>238</v>
      </c>
    </row>
    <row r="28" spans="1:4" x14ac:dyDescent="0.2">
      <c r="A28" s="26">
        <f t="shared" si="2"/>
        <v>4.3</v>
      </c>
      <c r="B28" s="147">
        <v>4300</v>
      </c>
      <c r="C28" s="148">
        <f t="shared" si="1"/>
        <v>4.2999999999999997E-2</v>
      </c>
      <c r="D28" s="110" t="s">
        <v>239</v>
      </c>
    </row>
    <row r="29" spans="1:4" x14ac:dyDescent="0.2">
      <c r="A29" s="26">
        <f t="shared" si="2"/>
        <v>6</v>
      </c>
      <c r="B29" s="147">
        <v>6000</v>
      </c>
      <c r="C29" s="148">
        <f t="shared" si="1"/>
        <v>0.06</v>
      </c>
      <c r="D29" s="110" t="s">
        <v>240</v>
      </c>
    </row>
    <row r="30" spans="1:4" x14ac:dyDescent="0.2">
      <c r="A30" s="26">
        <f t="shared" si="2"/>
        <v>8.3000000000000007</v>
      </c>
      <c r="B30" s="147">
        <v>8300</v>
      </c>
      <c r="C30" s="148">
        <f t="shared" si="1"/>
        <v>8.3000000000000004E-2</v>
      </c>
      <c r="D30" s="110" t="s">
        <v>241</v>
      </c>
    </row>
    <row r="31" spans="1:4" x14ac:dyDescent="0.2">
      <c r="A31" s="26">
        <f t="shared" si="2"/>
        <v>1.1000000000000001</v>
      </c>
      <c r="B31" s="147">
        <v>1100</v>
      </c>
      <c r="C31" s="148">
        <f t="shared" si="1"/>
        <v>1.0999999999999999E-2</v>
      </c>
      <c r="D31" s="110" t="s">
        <v>242</v>
      </c>
    </row>
    <row r="32" spans="1:4" x14ac:dyDescent="0.2">
      <c r="A32" s="26">
        <f t="shared" si="2"/>
        <v>1</v>
      </c>
      <c r="B32" s="147">
        <v>1000</v>
      </c>
      <c r="C32" s="148">
        <f t="shared" si="1"/>
        <v>0.01</v>
      </c>
      <c r="D32" s="110" t="s">
        <v>243</v>
      </c>
    </row>
    <row r="33" spans="1:4" x14ac:dyDescent="0.2">
      <c r="A33" s="26">
        <f t="shared" si="2"/>
        <v>6.7</v>
      </c>
      <c r="B33" s="147">
        <v>6700</v>
      </c>
      <c r="C33" s="148">
        <f t="shared" si="1"/>
        <v>6.7000000000000004E-2</v>
      </c>
      <c r="D33" s="110" t="s">
        <v>244</v>
      </c>
    </row>
    <row r="34" spans="1:4" x14ac:dyDescent="0.2">
      <c r="A34" s="26">
        <f t="shared" si="2"/>
        <v>1.3</v>
      </c>
      <c r="B34" s="147">
        <v>1300</v>
      </c>
      <c r="C34" s="148">
        <f t="shared" si="1"/>
        <v>1.2999999999999999E-2</v>
      </c>
      <c r="D34" s="110" t="s">
        <v>245</v>
      </c>
    </row>
    <row r="35" spans="1:4" x14ac:dyDescent="0.2">
      <c r="A35" s="26">
        <f t="shared" si="2"/>
        <v>4.5</v>
      </c>
      <c r="B35" s="147">
        <v>4500</v>
      </c>
      <c r="C35" s="148">
        <f t="shared" si="1"/>
        <v>4.4999999999999998E-2</v>
      </c>
      <c r="D35" s="110" t="s">
        <v>246</v>
      </c>
    </row>
    <row r="36" spans="1:4" x14ac:dyDescent="0.2">
      <c r="A36" s="26">
        <f t="shared" si="2"/>
        <v>4.2</v>
      </c>
      <c r="B36" s="147">
        <v>4200</v>
      </c>
      <c r="C36" s="148">
        <f t="shared" si="1"/>
        <v>4.2000000000000003E-2</v>
      </c>
      <c r="D36" s="110" t="s">
        <v>247</v>
      </c>
    </row>
    <row r="37" spans="1:4" x14ac:dyDescent="0.2">
      <c r="A37" s="26">
        <f t="shared" si="2"/>
        <v>11</v>
      </c>
      <c r="B37" s="147">
        <v>11000</v>
      </c>
      <c r="C37" s="148">
        <f t="shared" si="1"/>
        <v>0.11</v>
      </c>
      <c r="D37" s="110" t="s">
        <v>248</v>
      </c>
    </row>
    <row r="38" spans="1:4" x14ac:dyDescent="0.2">
      <c r="A38" s="26">
        <f t="shared" si="2"/>
        <v>3.5</v>
      </c>
      <c r="B38" s="147">
        <v>3500</v>
      </c>
      <c r="C38" s="148">
        <f t="shared" si="1"/>
        <v>3.5000000000000003E-2</v>
      </c>
      <c r="D38" s="110" t="s">
        <v>249</v>
      </c>
    </row>
    <row r="39" spans="1:4" x14ac:dyDescent="0.2">
      <c r="A39" s="26">
        <f t="shared" si="2"/>
        <v>1</v>
      </c>
      <c r="B39" s="147">
        <v>1000</v>
      </c>
      <c r="C39" s="148">
        <f t="shared" si="1"/>
        <v>0.01</v>
      </c>
      <c r="D39" s="110" t="s">
        <v>250</v>
      </c>
    </row>
    <row r="40" spans="1:4" x14ac:dyDescent="0.2">
      <c r="A40" s="26">
        <f t="shared" si="2"/>
        <v>1</v>
      </c>
      <c r="B40" s="147">
        <v>1000</v>
      </c>
      <c r="C40" s="148">
        <f t="shared" si="1"/>
        <v>0.01</v>
      </c>
      <c r="D40" s="110" t="s">
        <v>251</v>
      </c>
    </row>
    <row r="41" spans="1:4" x14ac:dyDescent="0.2">
      <c r="A41" s="26">
        <f t="shared" si="2"/>
        <v>0.99</v>
      </c>
      <c r="B41" s="147">
        <v>990</v>
      </c>
      <c r="C41" s="148">
        <f t="shared" si="1"/>
        <v>9.9000000000000008E-3</v>
      </c>
      <c r="D41" s="110" t="s">
        <v>252</v>
      </c>
    </row>
    <row r="42" spans="1:4" x14ac:dyDescent="0.2">
      <c r="A42" s="26">
        <f t="shared" si="2"/>
        <v>14</v>
      </c>
      <c r="B42" s="147">
        <v>14000</v>
      </c>
      <c r="C42" s="148">
        <f t="shared" si="1"/>
        <v>0.14000000000000001</v>
      </c>
      <c r="D42" s="110" t="s">
        <v>253</v>
      </c>
    </row>
    <row r="43" spans="1:4" x14ac:dyDescent="0.2">
      <c r="A43" s="26">
        <f t="shared" si="2"/>
        <v>1</v>
      </c>
      <c r="B43" s="147">
        <v>1000</v>
      </c>
      <c r="C43" s="148">
        <f t="shared" si="1"/>
        <v>0.01</v>
      </c>
      <c r="D43" s="110" t="s">
        <v>254</v>
      </c>
    </row>
    <row r="44" spans="1:4" x14ac:dyDescent="0.2">
      <c r="A44" s="26">
        <f t="shared" si="2"/>
        <v>1</v>
      </c>
      <c r="B44" s="147">
        <v>1000</v>
      </c>
      <c r="C44" s="148">
        <f t="shared" si="1"/>
        <v>0.01</v>
      </c>
      <c r="D44" s="110" t="s">
        <v>255</v>
      </c>
    </row>
    <row r="45" spans="1:4" x14ac:dyDescent="0.2">
      <c r="A45" s="26">
        <f t="shared" si="2"/>
        <v>1</v>
      </c>
      <c r="B45" s="147">
        <v>1000</v>
      </c>
      <c r="C45" s="148">
        <f t="shared" si="1"/>
        <v>0.01</v>
      </c>
      <c r="D45" s="110" t="s">
        <v>256</v>
      </c>
    </row>
    <row r="46" spans="1:4" x14ac:dyDescent="0.2">
      <c r="A46" s="26">
        <f t="shared" si="2"/>
        <v>4.4000000000000004</v>
      </c>
      <c r="B46" s="147">
        <v>4400</v>
      </c>
      <c r="C46" s="148">
        <f t="shared" si="1"/>
        <v>4.3999999999999997E-2</v>
      </c>
      <c r="D46" s="110" t="s">
        <v>257</v>
      </c>
    </row>
    <row r="47" spans="1:4" x14ac:dyDescent="0.2">
      <c r="A47" s="26">
        <f t="shared" si="2"/>
        <v>7.2</v>
      </c>
      <c r="B47" s="147">
        <v>7200</v>
      </c>
      <c r="C47" s="148">
        <f t="shared" si="1"/>
        <v>7.1999999999999995E-2</v>
      </c>
      <c r="D47" s="110" t="s">
        <v>258</v>
      </c>
    </row>
    <row r="48" spans="1:4" x14ac:dyDescent="0.2">
      <c r="A48" s="26">
        <f t="shared" si="2"/>
        <v>1</v>
      </c>
      <c r="B48" s="147">
        <v>1000</v>
      </c>
      <c r="C48" s="148">
        <f t="shared" si="1"/>
        <v>0.01</v>
      </c>
      <c r="D48" s="110" t="s">
        <v>259</v>
      </c>
    </row>
    <row r="49" spans="1:7" x14ac:dyDescent="0.2">
      <c r="A49" s="26">
        <f t="shared" si="2"/>
        <v>0.99</v>
      </c>
      <c r="B49" s="147">
        <v>990</v>
      </c>
      <c r="C49" s="148">
        <f t="shared" si="1"/>
        <v>9.9000000000000008E-3</v>
      </c>
      <c r="D49" s="110" t="s">
        <v>260</v>
      </c>
    </row>
    <row r="50" spans="1:7" x14ac:dyDescent="0.2">
      <c r="A50" s="26">
        <f t="shared" si="2"/>
        <v>1</v>
      </c>
      <c r="B50" s="147">
        <v>1000</v>
      </c>
      <c r="C50" s="148">
        <f t="shared" si="1"/>
        <v>0.01</v>
      </c>
      <c r="D50" s="110" t="s">
        <v>261</v>
      </c>
    </row>
    <row r="51" spans="1:7" x14ac:dyDescent="0.2">
      <c r="A51" s="26">
        <f t="shared" si="2"/>
        <v>12</v>
      </c>
      <c r="B51" s="147">
        <v>12000</v>
      </c>
      <c r="C51" s="148">
        <f t="shared" si="1"/>
        <v>0.12</v>
      </c>
      <c r="D51" s="110" t="s">
        <v>262</v>
      </c>
      <c r="E51" s="149">
        <f>GEOMEAN(C13:C51)</f>
        <v>2.5154820187899104E-2</v>
      </c>
      <c r="F51" s="110" t="s">
        <v>265</v>
      </c>
    </row>
    <row r="52" spans="1:7" x14ac:dyDescent="0.2">
      <c r="A52" s="26">
        <f>GEOMEAN(A3:A51)</f>
        <v>1.7825674250806178</v>
      </c>
      <c r="B52" s="147">
        <f>A52*1000</f>
        <v>1782.5674250806178</v>
      </c>
      <c r="C52" s="148">
        <f t="shared" si="1"/>
        <v>1.7825674250806178E-2</v>
      </c>
      <c r="F52">
        <f>1+(C52*265*1.83/0.26)</f>
        <v>34.24831049203253</v>
      </c>
    </row>
    <row r="53" spans="1:7" x14ac:dyDescent="0.2">
      <c r="A53" s="26">
        <f>MEDIAN(A3:A51)</f>
        <v>1.6</v>
      </c>
      <c r="B53" s="147">
        <f t="shared" ref="B53:B54" si="3">A53*1000</f>
        <v>1600</v>
      </c>
      <c r="C53" s="148">
        <f t="shared" si="1"/>
        <v>1.6E-2</v>
      </c>
      <c r="F53">
        <f t="shared" ref="F53:F54" si="4">1+(C53*265*1.83/0.26)</f>
        <v>30.843076923076925</v>
      </c>
    </row>
    <row r="54" spans="1:7" x14ac:dyDescent="0.2">
      <c r="A54" s="26">
        <f>AVERAGE(A3:A51)</f>
        <v>3.3730632653061221</v>
      </c>
      <c r="B54" s="147">
        <f t="shared" si="3"/>
        <v>3373.063265306122</v>
      </c>
      <c r="C54" s="148">
        <f t="shared" si="1"/>
        <v>3.373063265306122E-2</v>
      </c>
      <c r="F54">
        <f t="shared" si="4"/>
        <v>63.914116558084771</v>
      </c>
    </row>
    <row r="55" spans="1:7" x14ac:dyDescent="0.2">
      <c r="F55" s="110" t="s">
        <v>170</v>
      </c>
    </row>
    <row r="56" spans="1:7" x14ac:dyDescent="0.2">
      <c r="A56" s="110" t="s">
        <v>263</v>
      </c>
      <c r="C56" s="149">
        <v>3.1E-2</v>
      </c>
      <c r="F56">
        <f>(155*C56)</f>
        <v>4.8049999999999997</v>
      </c>
      <c r="G56">
        <f>1+(1.83*F56/0.26)</f>
        <v>34.819807692307691</v>
      </c>
    </row>
    <row r="57" spans="1:7" x14ac:dyDescent="0.2">
      <c r="A57" s="110" t="s">
        <v>264</v>
      </c>
      <c r="C57" s="149">
        <v>2E-3</v>
      </c>
      <c r="F57">
        <f>(155*C57)</f>
        <v>0.31</v>
      </c>
      <c r="G57">
        <f>1+(1.83*F57/0.26)</f>
        <v>3.1819230769230771</v>
      </c>
    </row>
  </sheetData>
  <phoneticPr fontId="3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B1E0A-26B4-46C6-8A66-466514354F76}">
  <dimension ref="A2:U32"/>
  <sheetViews>
    <sheetView workbookViewId="0">
      <selection activeCell="D6" sqref="D6"/>
    </sheetView>
  </sheetViews>
  <sheetFormatPr defaultRowHeight="12.75" x14ac:dyDescent="0.2"/>
  <cols>
    <col min="1" max="1" width="36.1640625" customWidth="1"/>
    <col min="2" max="2" width="12.5" bestFit="1" customWidth="1"/>
    <col min="4" max="4" width="10.83203125" customWidth="1"/>
    <col min="6" max="6" width="12.5" bestFit="1" customWidth="1"/>
    <col min="7" max="7" width="12.1640625" bestFit="1" customWidth="1"/>
    <col min="9" max="9" width="13.33203125" bestFit="1" customWidth="1"/>
    <col min="10" max="10" width="12.83203125" customWidth="1"/>
    <col min="13" max="13" width="9.6640625" bestFit="1" customWidth="1"/>
    <col min="16" max="16" width="10.1640625" bestFit="1" customWidth="1"/>
    <col min="17" max="17" width="11.6640625" bestFit="1" customWidth="1"/>
    <col min="19" max="19" width="10.1640625" bestFit="1" customWidth="1"/>
  </cols>
  <sheetData>
    <row r="2" spans="1:21" ht="14.25" x14ac:dyDescent="0.2">
      <c r="A2" s="110" t="s">
        <v>176</v>
      </c>
    </row>
    <row r="3" spans="1:21" ht="14.25" x14ac:dyDescent="0.2">
      <c r="A3" s="113" t="s">
        <v>177</v>
      </c>
      <c r="B3" s="134">
        <f>2*D20*COS(RADIANS(C18))/(B12*B11*(B24-1))</f>
        <v>6.0018372430991977</v>
      </c>
      <c r="C3" s="110" t="s">
        <v>213</v>
      </c>
      <c r="D3" s="134">
        <f>B3*3.048</f>
        <v>18.293599916966354</v>
      </c>
    </row>
    <row r="4" spans="1:21" ht="14.25" x14ac:dyDescent="0.2">
      <c r="A4" s="110" t="s">
        <v>178</v>
      </c>
      <c r="B4" s="134">
        <f>2*D20*COS(RADIANS(C18))/(B12*B11*(B24-1)*SIN(RADIANS(7)))</f>
        <v>49.248129803624543</v>
      </c>
      <c r="C4" s="110" t="s">
        <v>211</v>
      </c>
      <c r="D4" s="134">
        <f>B4*3.048</f>
        <v>150.10829964144762</v>
      </c>
      <c r="E4" s="110" t="s">
        <v>212</v>
      </c>
    </row>
    <row r="5" spans="1:21" ht="15.75" x14ac:dyDescent="0.2">
      <c r="A5" s="110" t="s">
        <v>179</v>
      </c>
      <c r="B5" s="134">
        <f>B4*SIN(RADIANS(D5))</f>
        <v>6.0018372430991977</v>
      </c>
      <c r="C5" s="110" t="s">
        <v>210</v>
      </c>
      <c r="D5" s="134">
        <v>7</v>
      </c>
      <c r="E5" s="110" t="s">
        <v>209</v>
      </c>
      <c r="F5">
        <f>TAN(RADIANS(D5))</f>
        <v>0.1227845609029046</v>
      </c>
      <c r="I5" s="126" t="s">
        <v>142</v>
      </c>
      <c r="J5" s="126" t="s">
        <v>143</v>
      </c>
      <c r="K5" s="110" t="s">
        <v>196</v>
      </c>
      <c r="L5" s="110" t="s">
        <v>197</v>
      </c>
    </row>
    <row r="6" spans="1:21" ht="15" x14ac:dyDescent="0.2">
      <c r="A6" s="110" t="s">
        <v>193</v>
      </c>
      <c r="H6" s="127" t="s">
        <v>195</v>
      </c>
      <c r="I6" s="128">
        <v>171998.35</v>
      </c>
      <c r="J6" s="128">
        <v>1066727.82</v>
      </c>
      <c r="K6">
        <v>-7</v>
      </c>
      <c r="P6" s="110" t="s">
        <v>198</v>
      </c>
      <c r="Q6" s="110" t="s">
        <v>199</v>
      </c>
      <c r="R6" s="110" t="s">
        <v>200</v>
      </c>
      <c r="S6" s="110" t="s">
        <v>201</v>
      </c>
      <c r="U6" s="110" t="s">
        <v>205</v>
      </c>
    </row>
    <row r="7" spans="1:21" ht="15" x14ac:dyDescent="0.2">
      <c r="A7" s="113"/>
      <c r="H7" s="127" t="s">
        <v>194</v>
      </c>
      <c r="I7" s="130">
        <v>172266.72</v>
      </c>
      <c r="J7" s="129">
        <v>1066601.3999999999</v>
      </c>
      <c r="K7" s="131">
        <v>2</v>
      </c>
      <c r="L7">
        <f>(K7-K6)/(SQRT((I6-I7)^2+(J6-J7)^2))</f>
        <v>3.0338222729889872E-2</v>
      </c>
      <c r="M7">
        <f>DEGREES(ASIN(L7))</f>
        <v>1.7385188809761167</v>
      </c>
      <c r="O7" s="110" t="s">
        <v>202</v>
      </c>
      <c r="P7" s="125">
        <v>172234.06</v>
      </c>
      <c r="Q7" s="125">
        <v>1066616.82</v>
      </c>
      <c r="R7">
        <v>33.5</v>
      </c>
      <c r="S7" s="132">
        <v>960000</v>
      </c>
      <c r="U7">
        <f>SQRT((P7-P7)^2+($Q$7-Q7)^2)</f>
        <v>0</v>
      </c>
    </row>
    <row r="8" spans="1:21" ht="15.75" x14ac:dyDescent="0.2">
      <c r="A8" s="113" t="s">
        <v>181</v>
      </c>
      <c r="B8">
        <f>(B9/B25)^0.5</f>
        <v>9.6324328895304147E-5</v>
      </c>
      <c r="C8" s="110" t="s">
        <v>184</v>
      </c>
      <c r="O8" s="110" t="s">
        <v>203</v>
      </c>
      <c r="P8" s="125">
        <v>172106.26</v>
      </c>
      <c r="Q8" s="125">
        <v>1066679.01</v>
      </c>
      <c r="R8">
        <v>59.75</v>
      </c>
      <c r="S8" s="132">
        <v>118000</v>
      </c>
      <c r="U8">
        <f t="shared" ref="U8:U12" si="0">SQRT((P8-P8)^2+($Q$7-Q8)^2)</f>
        <v>62.189999999944121</v>
      </c>
    </row>
    <row r="9" spans="1:21" x14ac:dyDescent="0.2">
      <c r="A9" s="113" t="s">
        <v>154</v>
      </c>
      <c r="B9">
        <f>F13*F10/(B11*B24)</f>
        <v>2.4123778476539888E-9</v>
      </c>
      <c r="C9" s="110" t="s">
        <v>184</v>
      </c>
      <c r="D9">
        <f>B9*60*60*24*365</f>
        <v>7.6076747803616201E-2</v>
      </c>
      <c r="O9" s="110" t="s">
        <v>204</v>
      </c>
      <c r="P9" s="125">
        <v>172093.45</v>
      </c>
      <c r="Q9" s="125">
        <v>1066621.3999999999</v>
      </c>
      <c r="R9" s="110">
        <v>41.5</v>
      </c>
      <c r="S9" s="133">
        <v>11100000</v>
      </c>
      <c r="U9">
        <f t="shared" si="0"/>
        <v>4.5799999998416752</v>
      </c>
    </row>
    <row r="10" spans="1:21" x14ac:dyDescent="0.2">
      <c r="A10" s="110" t="s">
        <v>135</v>
      </c>
      <c r="B10" s="123">
        <v>0.89</v>
      </c>
      <c r="C10" s="110" t="s">
        <v>136</v>
      </c>
      <c r="D10" s="110" t="s">
        <v>187</v>
      </c>
      <c r="F10" s="123">
        <f>B10*0.001</f>
        <v>8.9000000000000006E-4</v>
      </c>
      <c r="G10" s="124" t="s">
        <v>188</v>
      </c>
      <c r="I10" s="125"/>
      <c r="O10" s="110" t="s">
        <v>206</v>
      </c>
      <c r="P10" s="125">
        <v>172224.36</v>
      </c>
      <c r="Q10" s="125">
        <v>1066627.01</v>
      </c>
      <c r="R10">
        <v>33</v>
      </c>
      <c r="S10" s="132">
        <v>1350000</v>
      </c>
      <c r="U10">
        <f t="shared" si="0"/>
        <v>10.189999999944121</v>
      </c>
    </row>
    <row r="11" spans="1:21" ht="15.75" x14ac:dyDescent="0.2">
      <c r="A11" s="110" t="s">
        <v>182</v>
      </c>
      <c r="B11">
        <v>10</v>
      </c>
      <c r="C11" s="110" t="s">
        <v>183</v>
      </c>
      <c r="I11" s="125"/>
      <c r="O11" s="110" t="s">
        <v>194</v>
      </c>
      <c r="P11" s="125">
        <v>172266.72</v>
      </c>
      <c r="Q11" s="125">
        <v>1066601.3999999999</v>
      </c>
      <c r="R11">
        <v>33.75</v>
      </c>
      <c r="S11" s="132">
        <v>48000</v>
      </c>
      <c r="U11">
        <f t="shared" si="0"/>
        <v>15.420000000158325</v>
      </c>
    </row>
    <row r="12" spans="1:21" ht="14.25" x14ac:dyDescent="0.2">
      <c r="A12" s="110" t="s">
        <v>180</v>
      </c>
      <c r="B12" s="123">
        <f>E12*10^-3/8</f>
        <v>2.0704654751050453E-5</v>
      </c>
      <c r="C12" s="110" t="s">
        <v>184</v>
      </c>
      <c r="D12" s="110" t="s">
        <v>185</v>
      </c>
      <c r="E12">
        <f>GEOMEAN(0.3558,0.075,0.075,0.1096,0.5496,0.3128,0.075,0.1139,0.075,0.6434)</f>
        <v>0.16563723800840363</v>
      </c>
      <c r="F12" s="110" t="s">
        <v>192</v>
      </c>
      <c r="G12" s="110" t="s">
        <v>186</v>
      </c>
      <c r="O12" s="110" t="s">
        <v>207</v>
      </c>
      <c r="P12" s="125">
        <v>172084.65</v>
      </c>
      <c r="Q12" s="125">
        <v>1066690.1200000001</v>
      </c>
      <c r="R12">
        <v>42.5</v>
      </c>
      <c r="S12" s="132">
        <v>180000</v>
      </c>
      <c r="U12">
        <f t="shared" si="0"/>
        <v>73.300000000046566</v>
      </c>
    </row>
    <row r="13" spans="1:21" x14ac:dyDescent="0.2">
      <c r="A13" s="110" t="s">
        <v>189</v>
      </c>
      <c r="B13" s="123">
        <f>GEOMEAN(0.009, 0.0041, 0.0078,0.016, 0.00036)</f>
        <v>4.4046224746491364E-3</v>
      </c>
      <c r="C13" s="110" t="s">
        <v>190</v>
      </c>
      <c r="D13" s="110"/>
      <c r="F13" s="123">
        <f>B13*0.01</f>
        <v>4.4046224746491367E-5</v>
      </c>
      <c r="G13" s="124" t="s">
        <v>191</v>
      </c>
      <c r="O13" s="110" t="s">
        <v>208</v>
      </c>
      <c r="R13">
        <v>42.5</v>
      </c>
      <c r="S13">
        <v>4200</v>
      </c>
    </row>
    <row r="14" spans="1:21" x14ac:dyDescent="0.2">
      <c r="A14" s="110"/>
    </row>
    <row r="17" spans="1:9" x14ac:dyDescent="0.2">
      <c r="A17" t="s">
        <v>141</v>
      </c>
    </row>
    <row r="18" spans="1:9" x14ac:dyDescent="0.2">
      <c r="A18" s="110" t="s">
        <v>137</v>
      </c>
      <c r="B18">
        <v>23</v>
      </c>
      <c r="C18">
        <v>29</v>
      </c>
      <c r="D18">
        <v>48</v>
      </c>
    </row>
    <row r="20" spans="1:9" x14ac:dyDescent="0.2">
      <c r="A20" s="110" t="s">
        <v>138</v>
      </c>
      <c r="B20">
        <v>44.4</v>
      </c>
      <c r="C20" t="s">
        <v>155</v>
      </c>
      <c r="D20">
        <f>B20*10^-5</f>
        <v>4.44E-4</v>
      </c>
      <c r="E20" s="110" t="s">
        <v>156</v>
      </c>
      <c r="F20" t="s">
        <v>157</v>
      </c>
    </row>
    <row r="21" spans="1:9" x14ac:dyDescent="0.2">
      <c r="A21" s="110" t="s">
        <v>139</v>
      </c>
      <c r="B21">
        <f>B22/2</f>
        <v>0.17375833333333332</v>
      </c>
    </row>
    <row r="22" spans="1:9" x14ac:dyDescent="0.2">
      <c r="A22" t="s">
        <v>140</v>
      </c>
      <c r="B22">
        <f>AVERAGE(0.3558,0.1096,0.5496,0.3128,0.1139,0.6434)</f>
        <v>0.34751666666666664</v>
      </c>
    </row>
    <row r="23" spans="1:9" x14ac:dyDescent="0.2">
      <c r="A23" t="s">
        <v>150</v>
      </c>
      <c r="B23">
        <v>20</v>
      </c>
      <c r="C23" t="s">
        <v>151</v>
      </c>
      <c r="E23">
        <f>B23/3.281</f>
        <v>6.0957025297165499</v>
      </c>
      <c r="F23" t="s">
        <v>158</v>
      </c>
      <c r="G23">
        <f>E23/1440/60</f>
        <v>7.0552112612460072E-5</v>
      </c>
    </row>
    <row r="24" spans="1:9" x14ac:dyDescent="0.2">
      <c r="A24" t="s">
        <v>152</v>
      </c>
      <c r="B24">
        <v>1.625</v>
      </c>
      <c r="F24" t="s">
        <v>38</v>
      </c>
    </row>
    <row r="25" spans="1:9" x14ac:dyDescent="0.2">
      <c r="A25" s="110" t="s">
        <v>153</v>
      </c>
      <c r="B25">
        <v>0.26</v>
      </c>
    </row>
    <row r="26" spans="1:9" x14ac:dyDescent="0.2">
      <c r="A26" s="25"/>
      <c r="B26" s="25"/>
      <c r="C26" s="25"/>
      <c r="D26" s="25"/>
      <c r="E26" s="25"/>
      <c r="F26" s="25"/>
      <c r="G26" s="25"/>
    </row>
    <row r="27" spans="1:9" x14ac:dyDescent="0.2">
      <c r="A27" s="25"/>
      <c r="B27" s="25"/>
      <c r="C27" s="25" t="s">
        <v>142</v>
      </c>
      <c r="D27" s="25" t="s">
        <v>143</v>
      </c>
      <c r="E27" s="25" t="s">
        <v>144</v>
      </c>
      <c r="F27" s="25" t="s">
        <v>145</v>
      </c>
      <c r="G27" s="25"/>
    </row>
    <row r="28" spans="1:9" x14ac:dyDescent="0.2">
      <c r="A28" s="25" t="s">
        <v>146</v>
      </c>
      <c r="B28" s="25"/>
      <c r="C28" s="111">
        <v>172193.71</v>
      </c>
      <c r="D28" s="111">
        <v>1066600.74</v>
      </c>
      <c r="E28" s="25">
        <v>33.5</v>
      </c>
      <c r="F28" s="25">
        <v>21.25</v>
      </c>
      <c r="G28" s="25"/>
    </row>
    <row r="29" spans="1:9" x14ac:dyDescent="0.2">
      <c r="A29" s="112" t="s">
        <v>147</v>
      </c>
      <c r="B29" s="25"/>
      <c r="C29" s="111">
        <v>172093.45</v>
      </c>
      <c r="D29" s="111">
        <v>1066621.3999999999</v>
      </c>
      <c r="E29" s="25">
        <v>41.5</v>
      </c>
      <c r="F29" s="25"/>
      <c r="G29" s="25"/>
    </row>
    <row r="30" spans="1:9" x14ac:dyDescent="0.2">
      <c r="A30" s="25"/>
      <c r="B30" s="25"/>
      <c r="C30" s="25"/>
      <c r="D30" s="25"/>
      <c r="E30" s="25"/>
      <c r="F30" s="25"/>
      <c r="G30" s="25"/>
    </row>
    <row r="31" spans="1:9" x14ac:dyDescent="0.2">
      <c r="A31" s="25" t="s">
        <v>148</v>
      </c>
      <c r="B31" s="25"/>
      <c r="C31" s="25"/>
      <c r="D31" s="25"/>
      <c r="E31" s="25"/>
      <c r="F31" s="25">
        <v>25.36</v>
      </c>
      <c r="G31" s="25">
        <f>8.25/150</f>
        <v>5.5E-2</v>
      </c>
      <c r="H31">
        <f>ACOS(G31)</f>
        <v>1.5157685598137958</v>
      </c>
      <c r="I31">
        <f>60*H31*PI()/180</f>
        <v>1.5873091240178003</v>
      </c>
    </row>
    <row r="32" spans="1:9" x14ac:dyDescent="0.2">
      <c r="A32" s="25" t="s">
        <v>149</v>
      </c>
      <c r="B32" s="25"/>
      <c r="C32" s="25"/>
      <c r="D32" s="25"/>
      <c r="E32" s="25"/>
      <c r="F32" s="25"/>
      <c r="G32" s="25"/>
    </row>
  </sheetData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4BB7B-9D17-4769-91E7-6AB56B49C931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Charts</vt:lpstr>
      </vt:variant>
      <vt:variant>
        <vt:i4>1</vt:i4>
      </vt:variant>
    </vt:vector>
  </HeadingPairs>
  <TitlesOfParts>
    <vt:vector size="8" baseType="lpstr">
      <vt:lpstr>Table 1</vt:lpstr>
      <vt:lpstr>Table 1-mod</vt:lpstr>
      <vt:lpstr>CVOC Properties</vt:lpstr>
      <vt:lpstr>Csat-Calc</vt:lpstr>
      <vt:lpstr>TOC</vt:lpstr>
      <vt:lpstr>DNAPL Height</vt:lpstr>
      <vt:lpstr>Sheet1</vt:lpstr>
      <vt:lpstr>Csat 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 1a through F_SampleTrackingTable.xlsx</dc:title>
  <dc:creator>kchinchoy</dc:creator>
  <cp:lastModifiedBy>Bravo-Ruiz, Habib</cp:lastModifiedBy>
  <dcterms:created xsi:type="dcterms:W3CDTF">2021-12-13T15:48:02Z</dcterms:created>
  <dcterms:modified xsi:type="dcterms:W3CDTF">2025-11-10T16:15:34Z</dcterms:modified>
</cp:coreProperties>
</file>